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DECB7884-D38B-4C62-99C0-D134EFA8E76C}"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E45" i="9" s="1"/>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N43" i="9" s="1"/>
  <c r="M23" i="9"/>
  <c r="L23" i="9"/>
  <c r="K23" i="9"/>
  <c r="J23" i="9"/>
  <c r="I23" i="9"/>
  <c r="H23" i="9"/>
  <c r="G23" i="9"/>
  <c r="F23" i="9"/>
  <c r="E23" i="9"/>
  <c r="D23" i="9"/>
  <c r="C23" i="9"/>
  <c r="B23" i="9"/>
  <c r="AB22" i="9"/>
  <c r="AA22" i="9"/>
  <c r="Z22" i="9"/>
  <c r="Y22" i="9"/>
  <c r="X22" i="9"/>
  <c r="W22" i="9"/>
  <c r="V22" i="9"/>
  <c r="U22" i="9"/>
  <c r="U42" i="9" s="1"/>
  <c r="T22" i="9"/>
  <c r="T42" i="9" s="1"/>
  <c r="S22" i="9"/>
  <c r="S42" i="9" s="1"/>
  <c r="R22" i="9"/>
  <c r="Q22" i="9"/>
  <c r="P22" i="9"/>
  <c r="O22" i="9"/>
  <c r="N22" i="9"/>
  <c r="M22" i="9"/>
  <c r="L22" i="9"/>
  <c r="K22" i="9"/>
  <c r="J22" i="9"/>
  <c r="I22" i="9"/>
  <c r="H22" i="9"/>
  <c r="G22" i="9"/>
  <c r="F22" i="9"/>
  <c r="E22" i="9"/>
  <c r="D22" i="9"/>
  <c r="C22" i="9"/>
  <c r="B22" i="9"/>
  <c r="AB21" i="9"/>
  <c r="AA21" i="9"/>
  <c r="Z21" i="9"/>
  <c r="Z41" i="9" s="1"/>
  <c r="Y21" i="9"/>
  <c r="Y41" i="9" s="1"/>
  <c r="X21" i="9"/>
  <c r="X41" i="9" s="1"/>
  <c r="W21" i="9"/>
  <c r="V21" i="9"/>
  <c r="U21" i="9"/>
  <c r="T21" i="9"/>
  <c r="S21" i="9"/>
  <c r="R21" i="9"/>
  <c r="Q21" i="9"/>
  <c r="P21" i="9"/>
  <c r="O21" i="9"/>
  <c r="N21" i="9"/>
  <c r="M21" i="9"/>
  <c r="L21" i="9"/>
  <c r="K21" i="9"/>
  <c r="J21" i="9"/>
  <c r="I21" i="9"/>
  <c r="H21" i="9"/>
  <c r="G21" i="9"/>
  <c r="F21" i="9"/>
  <c r="E21" i="9"/>
  <c r="D21" i="9"/>
  <c r="D41" i="9" s="1"/>
  <c r="C21" i="9"/>
  <c r="C41" i="9" s="1"/>
  <c r="B21" i="9"/>
  <c r="B41" i="9" s="1"/>
  <c r="AB20" i="9"/>
  <c r="AA20" i="9"/>
  <c r="Z20" i="9"/>
  <c r="Y20" i="9"/>
  <c r="X20" i="9"/>
  <c r="W20" i="9"/>
  <c r="V20" i="9"/>
  <c r="U20" i="9"/>
  <c r="T20" i="9"/>
  <c r="S20" i="9"/>
  <c r="R20" i="9"/>
  <c r="Q20" i="9"/>
  <c r="P20" i="9"/>
  <c r="O20" i="9"/>
  <c r="N20" i="9"/>
  <c r="M20" i="9"/>
  <c r="L20" i="9"/>
  <c r="K20" i="9"/>
  <c r="J20" i="9"/>
  <c r="I20" i="9"/>
  <c r="I40" i="9" s="1"/>
  <c r="H20" i="9"/>
  <c r="H40" i="9" s="1"/>
  <c r="G20" i="9"/>
  <c r="G40" i="9" s="1"/>
  <c r="F20" i="9"/>
  <c r="E20" i="9"/>
  <c r="D20" i="9"/>
  <c r="C20" i="9"/>
  <c r="B20" i="9"/>
  <c r="AB19" i="9"/>
  <c r="AA19" i="9"/>
  <c r="Z19" i="9"/>
  <c r="Y19" i="9"/>
  <c r="X19" i="9"/>
  <c r="W19" i="9"/>
  <c r="V19" i="9"/>
  <c r="U19" i="9"/>
  <c r="T19" i="9"/>
  <c r="S19" i="9"/>
  <c r="R19" i="9"/>
  <c r="Q19" i="9"/>
  <c r="P19" i="9"/>
  <c r="O19" i="9"/>
  <c r="N19" i="9"/>
  <c r="N39" i="9" s="1"/>
  <c r="M19" i="9"/>
  <c r="M39" i="9" s="1"/>
  <c r="L19" i="9"/>
  <c r="L39" i="9" s="1"/>
  <c r="K19" i="9"/>
  <c r="J19" i="9"/>
  <c r="I19" i="9"/>
  <c r="H19" i="9"/>
  <c r="G19" i="9"/>
  <c r="F19" i="9"/>
  <c r="E19" i="9"/>
  <c r="D19" i="9"/>
  <c r="C19" i="9"/>
  <c r="B19" i="9"/>
  <c r="AB18" i="9"/>
  <c r="AA18" i="9"/>
  <c r="Z18" i="9"/>
  <c r="Y18" i="9"/>
  <c r="X18" i="9"/>
  <c r="W18" i="9"/>
  <c r="V18" i="9"/>
  <c r="U18" i="9"/>
  <c r="T18" i="9"/>
  <c r="S18" i="9"/>
  <c r="S38" i="9" s="1"/>
  <c r="R18" i="9"/>
  <c r="R38" i="9" s="1"/>
  <c r="Q18" i="9"/>
  <c r="Q38" i="9" s="1"/>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C45" i="9" l="1"/>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<sst xmlns="http://schemas.openxmlformats.org/spreadsheetml/2006/main" count="5677" uniqueCount="335">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</sst>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86</v>
      </c>
    </row>
    <row r="2" spans="1:2" x14ac:dyDescent="0.25">
      <c r="A2" s="3" t="s">
        <v>2</v>
      </c>
      <c r="B2" s="4" t="str">
        <f>IFERROR(INDEX(Geography!B:B, MATCH($B$1, Geography!C:C, 0)), "")</f>
        <v>KS</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1490325</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2970606</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1.0119666876173796</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1480281</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2970606</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0.98823465573714042</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2537393</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2970606</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1.1366579232384921</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185502</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2970606</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0.45710543336779452</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101559</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2970606</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0.52946625959327298</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146152</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2970606</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1.0391516120120192</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422449</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2970606</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0.72875851350988563</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2548157</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2970606</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1.0657629354716065</v>
      </c>
    </row>
    <row r="12" spans="1:28" x14ac:dyDescent="0.25">
      <c r="A12" s="4" t="s">
        <v>319</v>
      </c>
    </row>
    <row r="13" spans="1:28" x14ac:dyDescent="0.25">
      <c r="A13" s="4" t="s">
        <v>320</v>
      </c>
      <c r="B13" s="37">
        <f>INDEX(Census_pop_2020_2025!G:G, MATCH("."&amp;About!$B$1, Census_pop_2020_2025!A:A, 0))</f>
        <v>2965252</v>
      </c>
      <c r="C13" s="37">
        <f>INDEX(Census_pop_2020_2025!H:H, MATCH("."&amp;About!$B$1, Census_pop_2020_2025!A:A, 0))</f>
        <v>2977220</v>
      </c>
      <c r="D13" s="37">
        <f>INDEX(Census_pop_2020_2025!H:H, MATCH("."&amp;About!$B$1, Census_pop_2020_2025!A:A, 0))+0.2*(INDEX(Cooper_pop_2030_2050!D:D, MATCH(About!$B$1, Cooper_pop_2030_2050!B:B, 0))-INDEX(Census_pop_2020_2025!H:H, MATCH("."&amp;About!$B$1, Census_pop_2020_2025!A:A, 0)))</f>
        <v>2982318.115615197</v>
      </c>
      <c r="E13" s="37">
        <f>INDEX(Census_pop_2020_2025!H:H, MATCH("."&amp;About!$B$1, Census_pop_2020_2025!A:A, 0))+0.4*(INDEX(Cooper_pop_2030_2050!D:D, MATCH(About!$B$1, Cooper_pop_2030_2050!B:B, 0))-INDEX(Census_pop_2020_2025!H:H, MATCH("."&amp;About!$B$1, Census_pop_2020_2025!A:A, 0)))</f>
        <v>2987416.231230394</v>
      </c>
      <c r="F13" s="37">
        <f>INDEX(Census_pop_2020_2025!H:H, MATCH("."&amp;About!$B$1, Census_pop_2020_2025!A:A, 0))+0.6*(INDEX(Cooper_pop_2030_2050!D:D, MATCH(About!$B$1, Cooper_pop_2030_2050!B:B, 0))-INDEX(Census_pop_2020_2025!H:H, MATCH("."&amp;About!$B$1, Census_pop_2020_2025!A:A, 0)))</f>
        <v>2992514.346845591</v>
      </c>
      <c r="G13" s="37">
        <f>INDEX(Census_pop_2020_2025!H:H, MATCH("."&amp;About!$B$1, Census_pop_2020_2025!A:A, 0))+0.8*(INDEX(Cooper_pop_2030_2050!D:D, MATCH(About!$B$1, Cooper_pop_2030_2050!B:B, 0))-INDEX(Census_pop_2020_2025!H:H, MATCH("."&amp;About!$B$1, Census_pop_2020_2025!A:A, 0)))</f>
        <v>2997612.462460788</v>
      </c>
      <c r="H13" s="37">
        <f>INDEX(Cooper_pop_2030_2050!D:D, MATCH(About!$B$1, Cooper_pop_2030_2050!B:B, 0))</f>
        <v>3002710.578075985</v>
      </c>
      <c r="I13" s="37">
        <f>INDEX(Cooper_pop_2030_2050!D:D, MATCH(About!$B$1, Cooper_pop_2030_2050!B:B, 0))+0.1*(INDEX(Cooper_pop_2030_2050!E:E, MATCH(About!$B$1, Cooper_pop_2030_2050!B:B, 0))-INDEX(Cooper_pop_2030_2050!D:D, MATCH(About!$B$1, Cooper_pop_2030_2050!B:B, 0)))</f>
        <v>2999711.4607749633</v>
      </c>
      <c r="J13" s="37">
        <f>INDEX(Cooper_pop_2030_2050!D:D, MATCH(About!$B$1, Cooper_pop_2030_2050!B:B, 0))+0.2*(INDEX(Cooper_pop_2030_2050!E:E, MATCH(About!$B$1, Cooper_pop_2030_2050!B:B, 0))-INDEX(Cooper_pop_2030_2050!D:D, MATCH(About!$B$1, Cooper_pop_2030_2050!B:B, 0)))</f>
        <v>2996712.343473942</v>
      </c>
      <c r="K13" s="37">
        <f>INDEX(Cooper_pop_2030_2050!D:D, MATCH(About!$B$1, Cooper_pop_2030_2050!B:B, 0))+0.3*(INDEX(Cooper_pop_2030_2050!E:E, MATCH(About!$B$1, Cooper_pop_2030_2050!B:B, 0))-INDEX(Cooper_pop_2030_2050!D:D, MATCH(About!$B$1, Cooper_pop_2030_2050!B:B, 0)))</f>
        <v>2993713.2261729203</v>
      </c>
      <c r="L13" s="37">
        <f>INDEX(Cooper_pop_2030_2050!D:D, MATCH(About!$B$1, Cooper_pop_2030_2050!B:B, 0))+0.4*(INDEX(Cooper_pop_2030_2050!E:E, MATCH(About!$B$1, Cooper_pop_2030_2050!B:B, 0))-INDEX(Cooper_pop_2030_2050!D:D, MATCH(About!$B$1, Cooper_pop_2030_2050!B:B, 0)))</f>
        <v>2990714.1088718991</v>
      </c>
      <c r="M13" s="37">
        <f>INDEX(Cooper_pop_2030_2050!D:D, MATCH(About!$B$1, Cooper_pop_2030_2050!B:B, 0))+0.5*(INDEX(Cooper_pop_2030_2050!E:E, MATCH(About!$B$1, Cooper_pop_2030_2050!B:B, 0))-INDEX(Cooper_pop_2030_2050!D:D, MATCH(About!$B$1, Cooper_pop_2030_2050!B:B, 0)))</f>
        <v>2987714.9915708774</v>
      </c>
      <c r="N13" s="37">
        <f>INDEX(Cooper_pop_2030_2050!D:D, MATCH(About!$B$1, Cooper_pop_2030_2050!B:B, 0))+0.6*(INDEX(Cooper_pop_2030_2050!E:E, MATCH(About!$B$1, Cooper_pop_2030_2050!B:B, 0))-INDEX(Cooper_pop_2030_2050!D:D, MATCH(About!$B$1, Cooper_pop_2030_2050!B:B, 0)))</f>
        <v>2984715.8742698557</v>
      </c>
      <c r="O13" s="37">
        <f>INDEX(Cooper_pop_2030_2050!D:D, MATCH(About!$B$1, Cooper_pop_2030_2050!B:B, 0))+0.7*(INDEX(Cooper_pop_2030_2050!E:E, MATCH(About!$B$1, Cooper_pop_2030_2050!B:B, 0))-INDEX(Cooper_pop_2030_2050!D:D, MATCH(About!$B$1, Cooper_pop_2030_2050!B:B, 0)))</f>
        <v>2981716.7569688344</v>
      </c>
      <c r="P13" s="37">
        <f>INDEX(Cooper_pop_2030_2050!D:D, MATCH(About!$B$1, Cooper_pop_2030_2050!B:B, 0))+0.8*(INDEX(Cooper_pop_2030_2050!E:E, MATCH(About!$B$1, Cooper_pop_2030_2050!B:B, 0))-INDEX(Cooper_pop_2030_2050!D:D, MATCH(About!$B$1, Cooper_pop_2030_2050!B:B, 0)))</f>
        <v>2978717.6396678127</v>
      </c>
      <c r="Q13" s="37">
        <f>INDEX(Cooper_pop_2030_2050!D:D, MATCH(About!$B$1, Cooper_pop_2030_2050!B:B, 0))+0.9*(INDEX(Cooper_pop_2030_2050!E:E, MATCH(About!$B$1, Cooper_pop_2030_2050!B:B, 0))-INDEX(Cooper_pop_2030_2050!D:D, MATCH(About!$B$1, Cooper_pop_2030_2050!B:B, 0)))</f>
        <v>2975718.5223667915</v>
      </c>
      <c r="R13" s="37">
        <f>INDEX(Cooper_pop_2030_2050!E:E, MATCH(About!$B$1, Cooper_pop_2030_2050!B:B, 0))</f>
        <v>2972719.4050657698</v>
      </c>
      <c r="S13" s="37">
        <f>INDEX(Cooper_pop_2030_2050!E:E, MATCH(About!$B$1, Cooper_pop_2030_2050!B:B, 0))+0.1*(INDEX(Cooper_pop_2030_2050!F:F, MATCH(About!$B$1, Cooper_pop_2030_2050!B:B, 0))-INDEX(Cooper_pop_2030_2050!E:E, MATCH(About!$B$1, Cooper_pop_2030_2050!B:B, 0)))</f>
        <v>2966301.6333564911</v>
      </c>
      <c r="T13" s="37">
        <f>INDEX(Cooper_pop_2030_2050!E:E, MATCH(About!$B$1, Cooper_pop_2030_2050!B:B, 0))+0.2*(INDEX(Cooper_pop_2030_2050!F:F, MATCH(About!$B$1, Cooper_pop_2030_2050!B:B, 0))-INDEX(Cooper_pop_2030_2050!E:E, MATCH(About!$B$1, Cooper_pop_2030_2050!B:B, 0)))</f>
        <v>2959883.8616472119</v>
      </c>
      <c r="U13" s="37">
        <f>INDEX(Cooper_pop_2030_2050!E:E, MATCH(About!$B$1, Cooper_pop_2030_2050!B:B, 0))+0.3*(INDEX(Cooper_pop_2030_2050!F:F, MATCH(About!$B$1, Cooper_pop_2030_2050!B:B, 0))-INDEX(Cooper_pop_2030_2050!E:E, MATCH(About!$B$1, Cooper_pop_2030_2050!B:B, 0)))</f>
        <v>2953466.0899379333</v>
      </c>
      <c r="V13" s="37">
        <f>INDEX(Cooper_pop_2030_2050!E:E, MATCH(About!$B$1, Cooper_pop_2030_2050!B:B, 0))+0.4*(INDEX(Cooper_pop_2030_2050!F:F, MATCH(About!$B$1, Cooper_pop_2030_2050!B:B, 0))-INDEX(Cooper_pop_2030_2050!E:E, MATCH(About!$B$1, Cooper_pop_2030_2050!B:B, 0)))</f>
        <v>2947048.3182286541</v>
      </c>
      <c r="W13" s="37">
        <f>INDEX(Cooper_pop_2030_2050!E:E, MATCH(About!$B$1, Cooper_pop_2030_2050!B:B, 0))+0.5*(INDEX(Cooper_pop_2030_2050!F:F, MATCH(About!$B$1, Cooper_pop_2030_2050!B:B, 0))-INDEX(Cooper_pop_2030_2050!E:E, MATCH(About!$B$1, Cooper_pop_2030_2050!B:B, 0)))</f>
        <v>2940630.5465193754</v>
      </c>
      <c r="X13" s="37">
        <f>INDEX(Cooper_pop_2030_2050!E:E, MATCH(About!$B$1, Cooper_pop_2030_2050!B:B, 0))+0.6*(INDEX(Cooper_pop_2030_2050!F:F, MATCH(About!$B$1, Cooper_pop_2030_2050!B:B, 0))-INDEX(Cooper_pop_2030_2050!E:E, MATCH(About!$B$1, Cooper_pop_2030_2050!B:B, 0)))</f>
        <v>2934212.7748100967</v>
      </c>
      <c r="Y13" s="37">
        <f>INDEX(Cooper_pop_2030_2050!E:E, MATCH(About!$B$1, Cooper_pop_2030_2050!B:B, 0))+0.7*(INDEX(Cooper_pop_2030_2050!F:F, MATCH(About!$B$1, Cooper_pop_2030_2050!B:B, 0))-INDEX(Cooper_pop_2030_2050!E:E, MATCH(About!$B$1, Cooper_pop_2030_2050!B:B, 0)))</f>
        <v>2927795.0031008176</v>
      </c>
      <c r="Z13" s="37">
        <f>INDEX(Cooper_pop_2030_2050!E:E, MATCH(About!$B$1, Cooper_pop_2030_2050!B:B, 0))+0.8*(INDEX(Cooper_pop_2030_2050!F:F, MATCH(About!$B$1, Cooper_pop_2030_2050!B:B, 0))-INDEX(Cooper_pop_2030_2050!E:E, MATCH(About!$B$1, Cooper_pop_2030_2050!B:B, 0)))</f>
        <v>2921377.2313915389</v>
      </c>
      <c r="AA13" s="37">
        <f>INDEX(Cooper_pop_2030_2050!E:E, MATCH(About!$B$1, Cooper_pop_2030_2050!B:B, 0))+0.9*(INDEX(Cooper_pop_2030_2050!F:F, MATCH(About!$B$1, Cooper_pop_2030_2050!B:B, 0))-INDEX(Cooper_pop_2030_2050!E:E, MATCH(About!$B$1, Cooper_pop_2030_2050!B:B, 0)))</f>
        <v>2914959.4596822597</v>
      </c>
      <c r="AB13" s="37">
        <f>INDEX(Cooper_pop_2030_2050!F:F, MATCH(About!$B$1, Cooper_pop_2030_2050!B:B, 0))</f>
        <v>2908541.687972981</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8.8125086022389151E-3</v>
      </c>
      <c r="C15" s="39">
        <f t="shared" si="1"/>
        <v>8.8079195030674549E-3</v>
      </c>
      <c r="D15" s="39">
        <f t="shared" si="1"/>
        <v>8.7841046449782124E-3</v>
      </c>
      <c r="E15" s="39">
        <f t="shared" si="1"/>
        <v>8.7615094745041935E-3</v>
      </c>
      <c r="F15" s="39">
        <f t="shared" si="1"/>
        <v>8.7402085252335591E-3</v>
      </c>
      <c r="G15" s="39">
        <f t="shared" si="1"/>
        <v>8.7202309936439005E-3</v>
      </c>
      <c r="H15" s="39">
        <f t="shared" si="1"/>
        <v>8.7016534519993877E-3</v>
      </c>
      <c r="I15" s="39">
        <f t="shared" si="1"/>
        <v>8.6611937270126074E-3</v>
      </c>
      <c r="J15" s="39">
        <f t="shared" si="1"/>
        <v>8.6225136269191226E-3</v>
      </c>
      <c r="K15" s="39">
        <f t="shared" si="1"/>
        <v>8.5853102081755745E-3</v>
      </c>
      <c r="L15" s="39">
        <f t="shared" si="1"/>
        <v>8.5495961409668645E-3</v>
      </c>
      <c r="M15" s="39">
        <f t="shared" si="1"/>
        <v>8.5153786721210642E-3</v>
      </c>
      <c r="N15" s="39">
        <f t="shared" si="1"/>
        <v>8.4826574962802801E-3</v>
      </c>
      <c r="O15" s="39">
        <f t="shared" si="1"/>
        <v>8.4514332515645187E-3</v>
      </c>
      <c r="P15" s="39">
        <f t="shared" si="1"/>
        <v>8.4216965561976671E-3</v>
      </c>
      <c r="Q15" s="39">
        <f t="shared" si="1"/>
        <v>8.3934215897096577E-3</v>
      </c>
      <c r="R15" s="39">
        <f t="shared" si="1"/>
        <v>8.3665735636817787E-3</v>
      </c>
      <c r="S15" s="39">
        <f t="shared" si="1"/>
        <v>8.3315229468603497E-3</v>
      </c>
      <c r="T15" s="39">
        <f t="shared" si="1"/>
        <v>8.297837855055985E-3</v>
      </c>
      <c r="U15" s="39">
        <f t="shared" si="1"/>
        <v>8.265433928517734E-3</v>
      </c>
      <c r="V15" s="39">
        <f t="shared" si="1"/>
        <v>8.2342005346522484E-3</v>
      </c>
      <c r="W15" s="39">
        <f t="shared" si="1"/>
        <v>8.2040151100825891E-3</v>
      </c>
      <c r="X15" s="39">
        <f t="shared" si="1"/>
        <v>8.1747533868010078E-3</v>
      </c>
      <c r="Y15" s="39">
        <f t="shared" si="1"/>
        <v>8.1463337661167052E-3</v>
      </c>
      <c r="Z15" s="39">
        <f t="shared" si="1"/>
        <v>8.1186405904616517E-3</v>
      </c>
      <c r="AA15" s="39">
        <f t="shared" si="1"/>
        <v>8.0915579473677113E-3</v>
      </c>
      <c r="AB15" s="39">
        <f t="shared" si="1"/>
        <v>8.0649730984608571E-3</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83.926969930727239</v>
      </c>
      <c r="C48" s="37">
        <f t="shared" si="10"/>
        <v>83.250419301145882</v>
      </c>
      <c r="D48" s="37">
        <f t="shared" si="10"/>
        <v>82.385302834745858</v>
      </c>
      <c r="E48" s="37">
        <f t="shared" si="10"/>
        <v>81.535007214383356</v>
      </c>
      <c r="F48" s="37">
        <f t="shared" si="10"/>
        <v>80.682264417476702</v>
      </c>
      <c r="G48" s="37">
        <f t="shared" si="10"/>
        <v>79.827180295665286</v>
      </c>
      <c r="H48" s="37">
        <f t="shared" si="10"/>
        <v>78.970265716067757</v>
      </c>
      <c r="I48" s="37">
        <f t="shared" si="10"/>
        <v>77.94571791127548</v>
      </c>
      <c r="J48" s="37">
        <f t="shared" si="10"/>
        <v>76.882112337021411</v>
      </c>
      <c r="K48" s="37">
        <f t="shared" si="10"/>
        <v>75.846658459761528</v>
      </c>
      <c r="L48" s="37">
        <f t="shared" si="10"/>
        <v>74.778427769220229</v>
      </c>
      <c r="M48" s="37">
        <f t="shared" si="10"/>
        <v>73.738061097661429</v>
      </c>
      <c r="N48" s="37">
        <f t="shared" si="10"/>
        <v>72.733645370144671</v>
      </c>
      <c r="O48" s="37">
        <f t="shared" si="10"/>
        <v>71.64486978591934</v>
      </c>
      <c r="P48" s="37">
        <f t="shared" si="10"/>
        <v>70.600194233291077</v>
      </c>
      <c r="Q48" s="37">
        <f t="shared" si="10"/>
        <v>69.522269014441676</v>
      </c>
      <c r="R48" s="37">
        <f t="shared" si="10"/>
        <v>68.453218855124916</v>
      </c>
      <c r="S48" s="37">
        <f t="shared" si="10"/>
        <v>67.298027408511501</v>
      </c>
      <c r="T48" s="37">
        <f t="shared" si="10"/>
        <v>66.161030514420247</v>
      </c>
      <c r="U48" s="37">
        <f t="shared" si="10"/>
        <v>65.04113734496201</v>
      </c>
      <c r="V48" s="37">
        <f t="shared" si="10"/>
        <v>63.937088240479362</v>
      </c>
      <c r="W48" s="37">
        <f t="shared" si="10"/>
        <v>62.855880460573111</v>
      </c>
      <c r="X48" s="37">
        <f t="shared" si="10"/>
        <v>61.854066505515398</v>
      </c>
      <c r="Y48" s="37">
        <f t="shared" si="10"/>
        <v>60.86411122891036</v>
      </c>
      <c r="Z48" s="37">
        <f t="shared" si="10"/>
        <v>59.926000168926322</v>
      </c>
      <c r="AA48" s="37">
        <f t="shared" si="10"/>
        <v>59.005517396926834</v>
      </c>
      <c r="AB48" s="37">
        <f t="shared" si="10"/>
        <v>58.093443910445338</v>
      </c>
    </row>
    <row r="49" spans="1:28" x14ac:dyDescent="0.25">
      <c r="A49" s="4" t="s">
        <v>216</v>
      </c>
      <c r="B49" s="37">
        <f t="shared" ref="B49:AB49" si="11">B29*B15*$F$5</f>
        <v>65.351033340975064</v>
      </c>
      <c r="C49" s="37">
        <f t="shared" si="11"/>
        <v>64.960125956035995</v>
      </c>
      <c r="D49" s="37">
        <f t="shared" si="11"/>
        <v>64.42857570629441</v>
      </c>
      <c r="E49" s="37">
        <f t="shared" si="11"/>
        <v>63.899193468644668</v>
      </c>
      <c r="F49" s="37">
        <f t="shared" si="11"/>
        <v>63.363797400604724</v>
      </c>
      <c r="G49" s="37">
        <f t="shared" si="11"/>
        <v>62.839790584058143</v>
      </c>
      <c r="H49" s="37">
        <f t="shared" si="11"/>
        <v>62.318949573723287</v>
      </c>
      <c r="I49" s="37">
        <f t="shared" si="11"/>
        <v>61.601223092423027</v>
      </c>
      <c r="J49" s="37">
        <f t="shared" si="11"/>
        <v>60.925627517663628</v>
      </c>
      <c r="K49" s="37">
        <f t="shared" si="11"/>
        <v>60.213084750374001</v>
      </c>
      <c r="L49" s="37">
        <f t="shared" si="11"/>
        <v>59.531704724576578</v>
      </c>
      <c r="M49" s="37">
        <f t="shared" si="11"/>
        <v>58.81377905818897</v>
      </c>
      <c r="N49" s="37">
        <f t="shared" si="11"/>
        <v>58.068044277936508</v>
      </c>
      <c r="O49" s="37">
        <f t="shared" si="11"/>
        <v>57.378234709037095</v>
      </c>
      <c r="P49" s="37">
        <f t="shared" si="11"/>
        <v>56.618732136360116</v>
      </c>
      <c r="Q49" s="37">
        <f t="shared" si="11"/>
        <v>55.889487101211024</v>
      </c>
      <c r="R49" s="37">
        <f t="shared" si="11"/>
        <v>55.131943819957357</v>
      </c>
      <c r="S49" s="37">
        <f t="shared" si="11"/>
        <v>54.324631094211398</v>
      </c>
      <c r="T49" s="37">
        <f t="shared" si="11"/>
        <v>53.514576568687509</v>
      </c>
      <c r="U49" s="37">
        <f t="shared" si="11"/>
        <v>52.717486984002342</v>
      </c>
      <c r="V49" s="37">
        <f t="shared" si="11"/>
        <v>51.948665758758786</v>
      </c>
      <c r="W49" s="37">
        <f t="shared" si="11"/>
        <v>51.198812282960645</v>
      </c>
      <c r="X49" s="37">
        <f t="shared" si="11"/>
        <v>50.450698370388523</v>
      </c>
      <c r="Y49" s="37">
        <f t="shared" si="11"/>
        <v>49.743973662002304</v>
      </c>
      <c r="Z49" s="37">
        <f t="shared" si="11"/>
        <v>49.037321596575133</v>
      </c>
      <c r="AA49" s="37">
        <f t="shared" si="11"/>
        <v>48.361973078124031</v>
      </c>
      <c r="AB49" s="37">
        <f t="shared" si="11"/>
        <v>47.740814621785717</v>
      </c>
    </row>
    <row r="50" spans="1:28" x14ac:dyDescent="0.25">
      <c r="A50" s="4" t="s">
        <v>217</v>
      </c>
      <c r="B50" s="37">
        <f t="shared" ref="B50:AB50" si="12">B30*B15*$F$6</f>
        <v>98.745690566281723</v>
      </c>
      <c r="C50" s="37">
        <f t="shared" si="12"/>
        <v>98.043515465570096</v>
      </c>
      <c r="D50" s="37">
        <f t="shared" si="12"/>
        <v>97.139415931878958</v>
      </c>
      <c r="E50" s="37">
        <f t="shared" si="12"/>
        <v>96.232262839067999</v>
      </c>
      <c r="F50" s="37">
        <f t="shared" si="12"/>
        <v>95.332683292164219</v>
      </c>
      <c r="G50" s="37">
        <f t="shared" si="12"/>
        <v>94.450682358144945</v>
      </c>
      <c r="H50" s="37">
        <f t="shared" si="12"/>
        <v>93.547218003818855</v>
      </c>
      <c r="I50" s="37">
        <f t="shared" si="12"/>
        <v>92.42311828672247</v>
      </c>
      <c r="J50" s="37">
        <f t="shared" si="12"/>
        <v>91.275301449725745</v>
      </c>
      <c r="K50" s="37">
        <f t="shared" si="12"/>
        <v>90.110551088198122</v>
      </c>
      <c r="L50" s="37">
        <f t="shared" si="12"/>
        <v>88.919390676190886</v>
      </c>
      <c r="M50" s="37">
        <f t="shared" si="12"/>
        <v>87.702077164241885</v>
      </c>
      <c r="N50" s="37">
        <f t="shared" si="12"/>
        <v>86.458736644230569</v>
      </c>
      <c r="O50" s="37">
        <f t="shared" si="12"/>
        <v>85.160634656313434</v>
      </c>
      <c r="P50" s="37">
        <f t="shared" si="12"/>
        <v>83.846299323042928</v>
      </c>
      <c r="Q50" s="37">
        <f t="shared" si="12"/>
        <v>82.505804275355899</v>
      </c>
      <c r="R50" s="37">
        <f t="shared" si="12"/>
        <v>81.138740946099631</v>
      </c>
      <c r="S50" s="37">
        <f t="shared" si="12"/>
        <v>79.671880380026366</v>
      </c>
      <c r="T50" s="37">
        <f t="shared" si="12"/>
        <v>78.227375273828557</v>
      </c>
      <c r="U50" s="37">
        <f t="shared" si="12"/>
        <v>76.803887629505951</v>
      </c>
      <c r="V50" s="37">
        <f t="shared" si="12"/>
        <v>75.40924398289394</v>
      </c>
      <c r="W50" s="37">
        <f t="shared" si="12"/>
        <v>74.060411008869352</v>
      </c>
      <c r="X50" s="37">
        <f t="shared" si="12"/>
        <v>72.764854863935355</v>
      </c>
      <c r="Y50" s="37">
        <f t="shared" si="12"/>
        <v>71.502591204687235</v>
      </c>
      <c r="Z50" s="37">
        <f t="shared" si="12"/>
        <v>70.281340237810568</v>
      </c>
      <c r="AA50" s="37">
        <f t="shared" si="12"/>
        <v>69.117960893425021</v>
      </c>
      <c r="AB50" s="37">
        <f t="shared" si="12"/>
        <v>67.99249620546631</v>
      </c>
    </row>
    <row r="51" spans="1:28" x14ac:dyDescent="0.25">
      <c r="A51" s="4" t="s">
        <v>218</v>
      </c>
      <c r="B51" s="37">
        <f t="shared" ref="B51:AB51" si="13">B31*B15*$F$7</f>
        <v>18.844132746912987</v>
      </c>
      <c r="C51" s="37">
        <f t="shared" si="13"/>
        <v>18.580672380906947</v>
      </c>
      <c r="D51" s="37">
        <f t="shared" si="13"/>
        <v>18.281487706114717</v>
      </c>
      <c r="E51" s="37">
        <f t="shared" si="13"/>
        <v>17.978146864408455</v>
      </c>
      <c r="F51" s="37">
        <f t="shared" si="13"/>
        <v>17.670755471397815</v>
      </c>
      <c r="G51" s="37">
        <f t="shared" si="13"/>
        <v>17.367285063035297</v>
      </c>
      <c r="H51" s="37">
        <f t="shared" si="13"/>
        <v>17.055833333561637</v>
      </c>
      <c r="I51" s="37">
        <f t="shared" si="13"/>
        <v>16.70731216492916</v>
      </c>
      <c r="J51" s="37">
        <f t="shared" si="13"/>
        <v>16.364683782489507</v>
      </c>
      <c r="K51" s="37">
        <f t="shared" si="13"/>
        <v>16.02721669645781</v>
      </c>
      <c r="L51" s="37">
        <f t="shared" si="13"/>
        <v>15.702612599829584</v>
      </c>
      <c r="M51" s="37">
        <f t="shared" si="13"/>
        <v>15.394544269223612</v>
      </c>
      <c r="N51" s="37">
        <f t="shared" si="13"/>
        <v>15.091108690048715</v>
      </c>
      <c r="O51" s="37">
        <f t="shared" si="13"/>
        <v>14.803767298223606</v>
      </c>
      <c r="P51" s="37">
        <f t="shared" si="13"/>
        <v>14.520703474136271</v>
      </c>
      <c r="Q51" s="37">
        <f t="shared" si="13"/>
        <v>14.249424369435333</v>
      </c>
      <c r="R51" s="37">
        <f t="shared" si="13"/>
        <v>13.985853600042979</v>
      </c>
      <c r="S51" s="37">
        <f t="shared" si="13"/>
        <v>13.710183866057969</v>
      </c>
      <c r="T51" s="37">
        <f t="shared" si="13"/>
        <v>13.442345108453745</v>
      </c>
      <c r="U51" s="37">
        <f t="shared" si="13"/>
        <v>13.178273555443484</v>
      </c>
      <c r="V51" s="37">
        <f t="shared" si="13"/>
        <v>12.925225058350645</v>
      </c>
      <c r="W51" s="37">
        <f t="shared" si="13"/>
        <v>12.671587502123549</v>
      </c>
      <c r="X51" s="37">
        <f t="shared" si="13"/>
        <v>12.42834465443838</v>
      </c>
      <c r="Y51" s="37">
        <f t="shared" si="13"/>
        <v>12.198950705277797</v>
      </c>
      <c r="Z51" s="37">
        <f t="shared" si="13"/>
        <v>11.971927064335059</v>
      </c>
      <c r="AA51" s="37">
        <f t="shared" si="13"/>
        <v>11.754453034639498</v>
      </c>
      <c r="AB51" s="37">
        <f t="shared" si="13"/>
        <v>11.538879662839967</v>
      </c>
    </row>
    <row r="52" spans="1:28" x14ac:dyDescent="0.25">
      <c r="A52" s="4" t="s">
        <v>219</v>
      </c>
      <c r="B52" s="37">
        <f t="shared" ref="B52:AB52" si="14">B32*B15*$F$8</f>
        <v>4.0173622578117039</v>
      </c>
      <c r="C52" s="37">
        <f t="shared" si="14"/>
        <v>4.0292607116918289</v>
      </c>
      <c r="D52" s="37">
        <f t="shared" si="14"/>
        <v>4.0323190552289256</v>
      </c>
      <c r="E52" s="37">
        <f t="shared" si="14"/>
        <v>4.0405024990252363</v>
      </c>
      <c r="F52" s="37">
        <f t="shared" si="14"/>
        <v>4.0491898264305686</v>
      </c>
      <c r="G52" s="37">
        <f t="shared" si="14"/>
        <v>4.0584028484676962</v>
      </c>
      <c r="H52" s="37">
        <f t="shared" si="14"/>
        <v>4.0681857725626882</v>
      </c>
      <c r="I52" s="37">
        <f t="shared" si="14"/>
        <v>4.0676133336273734</v>
      </c>
      <c r="J52" s="37">
        <f t="shared" si="14"/>
        <v>4.0677090641581728</v>
      </c>
      <c r="K52" s="37">
        <f t="shared" si="14"/>
        <v>4.077431978783487</v>
      </c>
      <c r="L52" s="37">
        <f t="shared" si="14"/>
        <v>4.0785771435015166</v>
      </c>
      <c r="M52" s="37">
        <f t="shared" si="14"/>
        <v>4.0802881535661859</v>
      </c>
      <c r="N52" s="37">
        <f t="shared" si="14"/>
        <v>4.0825743707934192</v>
      </c>
      <c r="O52" s="37">
        <f t="shared" si="14"/>
        <v>4.0854456104920756</v>
      </c>
      <c r="P52" s="37">
        <f t="shared" si="14"/>
        <v>4.0844478243362072</v>
      </c>
      <c r="Q52" s="37">
        <f t="shared" si="14"/>
        <v>4.0885108515495556</v>
      </c>
      <c r="R52" s="37">
        <f t="shared" si="14"/>
        <v>4.0842925743653371</v>
      </c>
      <c r="S52" s="37">
        <f t="shared" si="14"/>
        <v>4.0804157695354473</v>
      </c>
      <c r="T52" s="37">
        <f t="shared" si="14"/>
        <v>4.0814919846281743</v>
      </c>
      <c r="U52" s="37">
        <f t="shared" si="14"/>
        <v>4.074305867410331</v>
      </c>
      <c r="V52" s="37">
        <f t="shared" si="14"/>
        <v>4.0719890882069194</v>
      </c>
      <c r="W52" s="37">
        <f t="shared" si="14"/>
        <v>4.0700929947612483</v>
      </c>
      <c r="X52" s="37">
        <f t="shared" si="14"/>
        <v>4.0642324767797442</v>
      </c>
      <c r="Y52" s="37">
        <f t="shared" si="14"/>
        <v>4.0673559630371736</v>
      </c>
      <c r="Z52" s="37">
        <f t="shared" si="14"/>
        <v>4.0621262217610905</v>
      </c>
      <c r="AA52" s="37">
        <f t="shared" si="14"/>
        <v>4.0571439538792289</v>
      </c>
      <c r="AB52" s="37">
        <f t="shared" si="14"/>
        <v>4.0523544520141552</v>
      </c>
    </row>
    <row r="53" spans="1:28" x14ac:dyDescent="0.25">
      <c r="A53" s="4" t="s">
        <v>220</v>
      </c>
      <c r="B53" s="37">
        <f t="shared" ref="B53:AB53" si="15">B33*B15*$F$9</f>
        <v>13.901134365187486</v>
      </c>
      <c r="C53" s="37">
        <f t="shared" si="15"/>
        <v>14.012881301379597</v>
      </c>
      <c r="D53" s="37">
        <f t="shared" si="15"/>
        <v>14.066273429445429</v>
      </c>
      <c r="E53" s="37">
        <f t="shared" si="15"/>
        <v>14.139345485921169</v>
      </c>
      <c r="F53" s="37">
        <f t="shared" si="15"/>
        <v>14.2048763812888</v>
      </c>
      <c r="G53" s="37">
        <f t="shared" si="15"/>
        <v>14.25396301411719</v>
      </c>
      <c r="H53" s="37">
        <f t="shared" si="15"/>
        <v>14.341146817938773</v>
      </c>
      <c r="I53" s="37">
        <f t="shared" si="15"/>
        <v>14.355468010280797</v>
      </c>
      <c r="J53" s="37">
        <f t="shared" si="15"/>
        <v>14.380958790688817</v>
      </c>
      <c r="K53" s="37">
        <f t="shared" si="15"/>
        <v>14.381359575227615</v>
      </c>
      <c r="L53" s="37">
        <f t="shared" si="15"/>
        <v>14.392609111338679</v>
      </c>
      <c r="M53" s="37">
        <f t="shared" si="15"/>
        <v>14.379250395294479</v>
      </c>
      <c r="N53" s="37">
        <f t="shared" si="15"/>
        <v>14.385700089013762</v>
      </c>
      <c r="O53" s="37">
        <f t="shared" si="15"/>
        <v>14.376658637505885</v>
      </c>
      <c r="P53" s="37">
        <f t="shared" si="15"/>
        <v>14.352328065688159</v>
      </c>
      <c r="Q53" s="37">
        <f t="shared" si="15"/>
        <v>14.312863660974216</v>
      </c>
      <c r="R53" s="37">
        <f t="shared" si="15"/>
        <v>14.27577526218742</v>
      </c>
      <c r="S53" s="37">
        <f t="shared" si="15"/>
        <v>14.215968852223391</v>
      </c>
      <c r="T53" s="37">
        <f t="shared" si="15"/>
        <v>14.124001573438493</v>
      </c>
      <c r="U53" s="37">
        <f t="shared" si="15"/>
        <v>14.051667788945593</v>
      </c>
      <c r="V53" s="37">
        <f t="shared" si="15"/>
        <v>13.964343063037434</v>
      </c>
      <c r="W53" s="37">
        <f t="shared" si="15"/>
        <v>13.87905087732643</v>
      </c>
      <c r="X53" s="37">
        <f t="shared" si="15"/>
        <v>13.812558067664039</v>
      </c>
      <c r="Y53" s="37">
        <f t="shared" si="15"/>
        <v>13.722212177243</v>
      </c>
      <c r="Z53" s="37">
        <f t="shared" si="15"/>
        <v>13.658691001760664</v>
      </c>
      <c r="AA53" s="37">
        <f t="shared" si="15"/>
        <v>13.571085752299057</v>
      </c>
      <c r="AB53" s="37">
        <f t="shared" si="15"/>
        <v>13.509736431311859</v>
      </c>
    </row>
    <row r="54" spans="1:28" x14ac:dyDescent="0.25">
      <c r="A54" s="4" t="s">
        <v>221</v>
      </c>
      <c r="B54" s="37">
        <f t="shared" ref="B54:AB54" si="16">B34*B15*$F$10</f>
        <v>24.667634360630394</v>
      </c>
      <c r="C54" s="37">
        <f t="shared" si="16"/>
        <v>24.75749027232434</v>
      </c>
      <c r="D54" s="37">
        <f t="shared" si="16"/>
        <v>24.805777793909716</v>
      </c>
      <c r="E54" s="37">
        <f t="shared" si="16"/>
        <v>24.863285873171122</v>
      </c>
      <c r="F54" s="37">
        <f t="shared" si="16"/>
        <v>24.942967375162841</v>
      </c>
      <c r="G54" s="37">
        <f t="shared" si="16"/>
        <v>25.000344095521257</v>
      </c>
      <c r="H54" s="37">
        <f t="shared" si="16"/>
        <v>25.054887341325852</v>
      </c>
      <c r="I54" s="37">
        <f t="shared" si="16"/>
        <v>25.039381346906694</v>
      </c>
      <c r="J54" s="37">
        <f t="shared" si="16"/>
        <v>25.015529979833271</v>
      </c>
      <c r="K54" s="37">
        <f t="shared" si="16"/>
        <v>24.982675295987793</v>
      </c>
      <c r="L54" s="37">
        <f t="shared" si="16"/>
        <v>24.934825081153068</v>
      </c>
      <c r="M54" s="37">
        <f t="shared" si="16"/>
        <v>24.872264049899471</v>
      </c>
      <c r="N54" s="37">
        <f t="shared" si="16"/>
        <v>24.795235367954451</v>
      </c>
      <c r="O54" s="37">
        <f t="shared" si="16"/>
        <v>24.70396532702053</v>
      </c>
      <c r="P54" s="37">
        <f t="shared" si="16"/>
        <v>24.580219169421369</v>
      </c>
      <c r="Q54" s="37">
        <f t="shared" si="16"/>
        <v>24.44264265415045</v>
      </c>
      <c r="R54" s="37">
        <f t="shared" si="16"/>
        <v>24.272999831204</v>
      </c>
      <c r="S54" s="37">
        <f t="shared" si="16"/>
        <v>24.080236390656868</v>
      </c>
      <c r="T54" s="37">
        <f t="shared" si="16"/>
        <v>23.867982563415005</v>
      </c>
      <c r="U54" s="37">
        <f t="shared" si="16"/>
        <v>23.636234966955215</v>
      </c>
      <c r="V54" s="37">
        <f t="shared" si="16"/>
        <v>23.40890133588594</v>
      </c>
      <c r="W54" s="37">
        <f t="shared" si="16"/>
        <v>23.155682701978286</v>
      </c>
      <c r="X54" s="37">
        <f t="shared" si="16"/>
        <v>22.936071336928769</v>
      </c>
      <c r="Y54" s="37">
        <f t="shared" si="16"/>
        <v>22.713852788846989</v>
      </c>
      <c r="Z54" s="37">
        <f t="shared" si="16"/>
        <v>22.494641160915094</v>
      </c>
      <c r="AA54" s="37">
        <f t="shared" si="16"/>
        <v>22.283975991894863</v>
      </c>
      <c r="AB54" s="37">
        <f t="shared" si="16"/>
        <v>22.087336117697166</v>
      </c>
    </row>
    <row r="55" spans="1:28" x14ac:dyDescent="0.25">
      <c r="A55" s="4" t="s">
        <v>222</v>
      </c>
      <c r="B55" s="37">
        <f t="shared" ref="B55:AB55" si="17">B35*B15*$F$11</f>
        <v>122.79159681100462</v>
      </c>
      <c r="C55" s="37">
        <f t="shared" si="17"/>
        <v>121.52609756099891</v>
      </c>
      <c r="D55" s="37">
        <f t="shared" si="17"/>
        <v>119.97112294187728</v>
      </c>
      <c r="E55" s="37">
        <f t="shared" si="17"/>
        <v>118.42061066319472</v>
      </c>
      <c r="F55" s="37">
        <f t="shared" si="17"/>
        <v>116.82860827345442</v>
      </c>
      <c r="G55" s="37">
        <f t="shared" si="17"/>
        <v>115.27904216995456</v>
      </c>
      <c r="H55" s="37">
        <f t="shared" si="17"/>
        <v>113.73510624529938</v>
      </c>
      <c r="I55" s="37">
        <f t="shared" si="17"/>
        <v>111.90473686216691</v>
      </c>
      <c r="J55" s="37">
        <f t="shared" si="17"/>
        <v>110.09087410134764</v>
      </c>
      <c r="K55" s="37">
        <f t="shared" si="17"/>
        <v>108.27998061483427</v>
      </c>
      <c r="L55" s="37">
        <f t="shared" si="17"/>
        <v>106.49010540459089</v>
      </c>
      <c r="M55" s="37">
        <f t="shared" si="17"/>
        <v>104.71167640676822</v>
      </c>
      <c r="N55" s="37">
        <f t="shared" si="17"/>
        <v>102.96227675223706</v>
      </c>
      <c r="O55" s="37">
        <f t="shared" si="17"/>
        <v>101.20517235985383</v>
      </c>
      <c r="P55" s="37">
        <f t="shared" si="17"/>
        <v>99.466846104785304</v>
      </c>
      <c r="Q55" s="37">
        <f t="shared" si="17"/>
        <v>97.746359925953669</v>
      </c>
      <c r="R55" s="37">
        <f t="shared" si="17"/>
        <v>96.051597259511311</v>
      </c>
      <c r="S55" s="37">
        <f t="shared" si="17"/>
        <v>94.24625253656545</v>
      </c>
      <c r="T55" s="37">
        <f t="shared" si="17"/>
        <v>92.485616142674971</v>
      </c>
      <c r="U55" s="37">
        <f t="shared" si="17"/>
        <v>90.785483162777453</v>
      </c>
      <c r="V55" s="37">
        <f t="shared" si="17"/>
        <v>89.126067425087882</v>
      </c>
      <c r="W55" s="37">
        <f t="shared" si="17"/>
        <v>87.549018221693231</v>
      </c>
      <c r="X55" s="37">
        <f t="shared" si="17"/>
        <v>86.008310969451983</v>
      </c>
      <c r="Y55" s="37">
        <f t="shared" si="17"/>
        <v>84.528541883872364</v>
      </c>
      <c r="Z55" s="37">
        <f t="shared" si="17"/>
        <v>83.099053971112639</v>
      </c>
      <c r="AA55" s="37">
        <f t="shared" si="17"/>
        <v>81.709392166226451</v>
      </c>
      <c r="AB55" s="37">
        <f t="shared" si="17"/>
        <v>80.366516926606934</v>
      </c>
    </row>
    <row r="57" spans="1:28" x14ac:dyDescent="0.25">
      <c r="A57" s="4" t="s">
        <v>327</v>
      </c>
    </row>
    <row r="58" spans="1:28" x14ac:dyDescent="0.25">
      <c r="A58" s="4" t="s">
        <v>215</v>
      </c>
      <c r="B58" s="37">
        <f t="shared" ref="B58:AB58" si="18">B38*B15*$F$4</f>
        <v>13308.618260809864</v>
      </c>
      <c r="C58" s="37">
        <f t="shared" si="18"/>
        <v>13543.978628147379</v>
      </c>
      <c r="D58" s="37">
        <f t="shared" si="18"/>
        <v>13746.994037826385</v>
      </c>
      <c r="E58" s="37">
        <f t="shared" si="18"/>
        <v>13949.676848149646</v>
      </c>
      <c r="F58" s="37">
        <f t="shared" si="18"/>
        <v>14153.236477362443</v>
      </c>
      <c r="G58" s="37">
        <f t="shared" si="18"/>
        <v>14358.099987875776</v>
      </c>
      <c r="H58" s="37">
        <f t="shared" si="18"/>
        <v>14563.295211864575</v>
      </c>
      <c r="I58" s="37">
        <f t="shared" si="18"/>
        <v>14728.243514259897</v>
      </c>
      <c r="J58" s="37">
        <f t="shared" si="18"/>
        <v>14889.720565016996</v>
      </c>
      <c r="K58" s="37">
        <f t="shared" si="18"/>
        <v>15047.516571876209</v>
      </c>
      <c r="L58" s="37">
        <f t="shared" si="18"/>
        <v>15200.413380742135</v>
      </c>
      <c r="M58" s="37">
        <f t="shared" si="18"/>
        <v>15348.219369512981</v>
      </c>
      <c r="N58" s="37">
        <f t="shared" si="18"/>
        <v>15489.433688793943</v>
      </c>
      <c r="O58" s="37">
        <f t="shared" si="18"/>
        <v>15623.550655868989</v>
      </c>
      <c r="P58" s="37">
        <f t="shared" si="18"/>
        <v>15748.649990695516</v>
      </c>
      <c r="Q58" s="37">
        <f t="shared" si="18"/>
        <v>15864.506132765133</v>
      </c>
      <c r="R58" s="37">
        <f t="shared" si="18"/>
        <v>15968.810921330965</v>
      </c>
      <c r="S58" s="37">
        <f t="shared" si="18"/>
        <v>16043.353978236795</v>
      </c>
      <c r="T58" s="37">
        <f t="shared" si="18"/>
        <v>16105.630292852315</v>
      </c>
      <c r="U58" s="37">
        <f t="shared" si="18"/>
        <v>16156.608294909376</v>
      </c>
      <c r="V58" s="37">
        <f t="shared" si="18"/>
        <v>16192.50714875917</v>
      </c>
      <c r="W58" s="37">
        <f t="shared" si="18"/>
        <v>16214.392919348998</v>
      </c>
      <c r="X58" s="37">
        <f t="shared" si="18"/>
        <v>16221.475050270094</v>
      </c>
      <c r="Y58" s="37">
        <f t="shared" si="18"/>
        <v>16220.528835147337</v>
      </c>
      <c r="Z58" s="37">
        <f t="shared" si="18"/>
        <v>16205.686185523424</v>
      </c>
      <c r="AA58" s="37">
        <f t="shared" si="18"/>
        <v>16178.025655786214</v>
      </c>
      <c r="AB58" s="37">
        <f t="shared" si="18"/>
        <v>16139.081825814053</v>
      </c>
    </row>
    <row r="59" spans="1:28" x14ac:dyDescent="0.25">
      <c r="A59" s="4" t="s">
        <v>216</v>
      </c>
      <c r="B59" s="37">
        <f t="shared" ref="B59:AB59" si="19">B39*B15*$F$5</f>
        <v>12212.544026205955</v>
      </c>
      <c r="C59" s="37">
        <f t="shared" si="19"/>
        <v>12396.329607654572</v>
      </c>
      <c r="D59" s="37">
        <f t="shared" si="19"/>
        <v>12551.506011012003</v>
      </c>
      <c r="E59" s="37">
        <f t="shared" si="19"/>
        <v>12712.969659696639</v>
      </c>
      <c r="F59" s="37">
        <f t="shared" si="19"/>
        <v>12884.288841944937</v>
      </c>
      <c r="G59" s="37">
        <f t="shared" si="19"/>
        <v>13066.1090952129</v>
      </c>
      <c r="H59" s="37">
        <f t="shared" si="19"/>
        <v>13259.601266938758</v>
      </c>
      <c r="I59" s="37">
        <f t="shared" si="19"/>
        <v>13427.252064286389</v>
      </c>
      <c r="J59" s="37">
        <f t="shared" si="19"/>
        <v>13603.64453347965</v>
      </c>
      <c r="K59" s="37">
        <f t="shared" si="19"/>
        <v>13785.233001382898</v>
      </c>
      <c r="L59" s="37">
        <f t="shared" si="19"/>
        <v>13971.692305718327</v>
      </c>
      <c r="M59" s="37">
        <f t="shared" si="19"/>
        <v>14162.137519173368</v>
      </c>
      <c r="N59" s="37">
        <f t="shared" si="19"/>
        <v>14353.528609615742</v>
      </c>
      <c r="O59" s="37">
        <f t="shared" si="19"/>
        <v>14543.010530959629</v>
      </c>
      <c r="P59" s="37">
        <f t="shared" si="19"/>
        <v>14729.983616028276</v>
      </c>
      <c r="Q59" s="37">
        <f t="shared" si="19"/>
        <v>14910.440900375072</v>
      </c>
      <c r="R59" s="37">
        <f t="shared" si="19"/>
        <v>15083.324277801054</v>
      </c>
      <c r="S59" s="37">
        <f t="shared" si="19"/>
        <v>15228.458761263089</v>
      </c>
      <c r="T59" s="37">
        <f t="shared" si="19"/>
        <v>15361.996360431482</v>
      </c>
      <c r="U59" s="37">
        <f t="shared" si="19"/>
        <v>15482.637469543966</v>
      </c>
      <c r="V59" s="37">
        <f t="shared" si="19"/>
        <v>15587.008375037503</v>
      </c>
      <c r="W59" s="37">
        <f t="shared" si="19"/>
        <v>15672.122643401237</v>
      </c>
      <c r="X59" s="37">
        <f t="shared" si="19"/>
        <v>15738.969862343034</v>
      </c>
      <c r="Y59" s="37">
        <f t="shared" si="19"/>
        <v>15795.003741225584</v>
      </c>
      <c r="Z59" s="37">
        <f t="shared" si="19"/>
        <v>15833.518921521381</v>
      </c>
      <c r="AA59" s="37">
        <f t="shared" si="19"/>
        <v>15852.203962519719</v>
      </c>
      <c r="AB59" s="37">
        <f t="shared" si="19"/>
        <v>15851.46477075642</v>
      </c>
    </row>
    <row r="60" spans="1:28" x14ac:dyDescent="0.25">
      <c r="A60" s="4" t="s">
        <v>217</v>
      </c>
      <c r="B60" s="37">
        <f t="shared" ref="B60:AB60" si="20">B40*B15*$F$6</f>
        <v>23481.460772937819</v>
      </c>
      <c r="C60" s="37">
        <f t="shared" si="20"/>
        <v>23861.917494392757</v>
      </c>
      <c r="D60" s="37">
        <f t="shared" si="20"/>
        <v>24184.369752119863</v>
      </c>
      <c r="E60" s="37">
        <f t="shared" si="20"/>
        <v>24510.117337086773</v>
      </c>
      <c r="F60" s="37">
        <f t="shared" si="20"/>
        <v>24844.188036525182</v>
      </c>
      <c r="G60" s="37">
        <f t="shared" si="20"/>
        <v>25186.683430177793</v>
      </c>
      <c r="H60" s="37">
        <f t="shared" si="20"/>
        <v>25538.52898628933</v>
      </c>
      <c r="I60" s="37">
        <f t="shared" si="20"/>
        <v>25827.565584634587</v>
      </c>
      <c r="J60" s="37">
        <f t="shared" si="20"/>
        <v>26119.711911026072</v>
      </c>
      <c r="K60" s="37">
        <f t="shared" si="20"/>
        <v>26410.364213074128</v>
      </c>
      <c r="L60" s="37">
        <f t="shared" si="20"/>
        <v>26698.178243069935</v>
      </c>
      <c r="M60" s="37">
        <f t="shared" si="20"/>
        <v>26982.186246048484</v>
      </c>
      <c r="N60" s="37">
        <f t="shared" si="20"/>
        <v>27257.584703301349</v>
      </c>
      <c r="O60" s="37">
        <f t="shared" si="20"/>
        <v>27521.79410904695</v>
      </c>
      <c r="P60" s="37">
        <f t="shared" si="20"/>
        <v>27771.418291820155</v>
      </c>
      <c r="Q60" s="37">
        <f t="shared" si="20"/>
        <v>28002.897383177849</v>
      </c>
      <c r="R60" s="37">
        <f t="shared" si="20"/>
        <v>28212.849376470618</v>
      </c>
      <c r="S60" s="37">
        <f t="shared" si="20"/>
        <v>28366.418716514821</v>
      </c>
      <c r="T60" s="37">
        <f t="shared" si="20"/>
        <v>28494.392182015628</v>
      </c>
      <c r="U60" s="37">
        <f t="shared" si="20"/>
        <v>28596.938738152596</v>
      </c>
      <c r="V60" s="37">
        <f t="shared" si="20"/>
        <v>28666.659841411278</v>
      </c>
      <c r="W60" s="37">
        <f t="shared" si="20"/>
        <v>28701.654421191353</v>
      </c>
      <c r="X60" s="37">
        <f t="shared" si="20"/>
        <v>28702.78506614158</v>
      </c>
      <c r="Y60" s="37">
        <f t="shared" si="20"/>
        <v>28684.900632165085</v>
      </c>
      <c r="Z60" s="37">
        <f t="shared" si="20"/>
        <v>28635.299703728706</v>
      </c>
      <c r="AA60" s="37">
        <f t="shared" si="20"/>
        <v>28552.422705071203</v>
      </c>
      <c r="AB60" s="37">
        <f t="shared" si="20"/>
        <v>28438.913464448295</v>
      </c>
    </row>
    <row r="61" spans="1:28" x14ac:dyDescent="0.25">
      <c r="A61" s="4" t="s">
        <v>218</v>
      </c>
      <c r="B61" s="37">
        <f t="shared" ref="B61:AB61" si="21">B41*B15*$F$7</f>
        <v>1456.871403544151</v>
      </c>
      <c r="C61" s="37">
        <f t="shared" si="21"/>
        <v>1478.0794029205977</v>
      </c>
      <c r="D61" s="37">
        <f t="shared" si="21"/>
        <v>1495.942057048303</v>
      </c>
      <c r="E61" s="37">
        <f t="shared" si="21"/>
        <v>1513.9570087155887</v>
      </c>
      <c r="F61" s="37">
        <f t="shared" si="21"/>
        <v>1532.6214177969125</v>
      </c>
      <c r="G61" s="37">
        <f t="shared" si="21"/>
        <v>1551.9783811287252</v>
      </c>
      <c r="H61" s="37">
        <f t="shared" si="21"/>
        <v>1571.9925641535046</v>
      </c>
      <c r="I61" s="37">
        <f t="shared" si="21"/>
        <v>1588.449683619996</v>
      </c>
      <c r="J61" s="37">
        <f t="shared" si="21"/>
        <v>1605.4456359435619</v>
      </c>
      <c r="K61" s="37">
        <f t="shared" si="21"/>
        <v>1622.8773466665957</v>
      </c>
      <c r="L61" s="37">
        <f t="shared" si="21"/>
        <v>1640.7471536739802</v>
      </c>
      <c r="M61" s="37">
        <f t="shared" si="21"/>
        <v>1658.9713628987229</v>
      </c>
      <c r="N61" s="37">
        <f t="shared" si="21"/>
        <v>1677.6295418666923</v>
      </c>
      <c r="O61" s="37">
        <f t="shared" si="21"/>
        <v>1696.2984839539668</v>
      </c>
      <c r="P61" s="37">
        <f t="shared" si="21"/>
        <v>1715.1676322058779</v>
      </c>
      <c r="Q61" s="37">
        <f t="shared" si="21"/>
        <v>1733.8909822716914</v>
      </c>
      <c r="R61" s="37">
        <f t="shared" si="21"/>
        <v>1752.4308980509963</v>
      </c>
      <c r="S61" s="37">
        <f t="shared" si="21"/>
        <v>1768.7622457133602</v>
      </c>
      <c r="T61" s="37">
        <f t="shared" si="21"/>
        <v>1784.5357939223034</v>
      </c>
      <c r="U61" s="37">
        <f t="shared" si="21"/>
        <v>1799.7826621822603</v>
      </c>
      <c r="V61" s="37">
        <f t="shared" si="21"/>
        <v>1814.2966027887385</v>
      </c>
      <c r="W61" s="37">
        <f t="shared" si="21"/>
        <v>1827.7461812104136</v>
      </c>
      <c r="X61" s="37">
        <f t="shared" si="21"/>
        <v>1840.0153050723452</v>
      </c>
      <c r="Y61" s="37">
        <f t="shared" si="21"/>
        <v>1851.5743140688373</v>
      </c>
      <c r="Z61" s="37">
        <f t="shared" si="21"/>
        <v>1861.9167001832366</v>
      </c>
      <c r="AA61" s="37">
        <f t="shared" si="21"/>
        <v>1871.0330004599878</v>
      </c>
      <c r="AB61" s="37">
        <f t="shared" si="21"/>
        <v>1878.7360555196497</v>
      </c>
    </row>
    <row r="62" spans="1:28" x14ac:dyDescent="0.25">
      <c r="A62" s="4" t="s">
        <v>219</v>
      </c>
      <c r="B62" s="37">
        <f t="shared" ref="B62:AB62" si="22">B42*B15*$F$8</f>
        <v>568.5570768886522</v>
      </c>
      <c r="C62" s="37">
        <f t="shared" si="22"/>
        <v>581.64057231901427</v>
      </c>
      <c r="D62" s="37">
        <f t="shared" si="22"/>
        <v>593.81595424857983</v>
      </c>
      <c r="E62" s="37">
        <f t="shared" si="22"/>
        <v>606.86863079791101</v>
      </c>
      <c r="F62" s="37">
        <f t="shared" si="22"/>
        <v>620.97449649036014</v>
      </c>
      <c r="G62" s="37">
        <f t="shared" si="22"/>
        <v>636.12117275368064</v>
      </c>
      <c r="H62" s="37">
        <f t="shared" si="22"/>
        <v>652.35178719645376</v>
      </c>
      <c r="I62" s="37">
        <f t="shared" si="22"/>
        <v>667.87276019859871</v>
      </c>
      <c r="J62" s="37">
        <f t="shared" si="22"/>
        <v>684.05079162424681</v>
      </c>
      <c r="K62" s="37">
        <f t="shared" si="22"/>
        <v>700.745550708255</v>
      </c>
      <c r="L62" s="37">
        <f t="shared" si="22"/>
        <v>718.13286767648287</v>
      </c>
      <c r="M62" s="37">
        <f t="shared" si="22"/>
        <v>736.07045708625628</v>
      </c>
      <c r="N62" s="37">
        <f t="shared" si="22"/>
        <v>754.46333674737264</v>
      </c>
      <c r="O62" s="37">
        <f t="shared" si="22"/>
        <v>773.17841259594127</v>
      </c>
      <c r="P62" s="37">
        <f t="shared" si="22"/>
        <v>792.14655069994694</v>
      </c>
      <c r="Q62" s="37">
        <f t="shared" si="22"/>
        <v>811.21832538337776</v>
      </c>
      <c r="R62" s="37">
        <f t="shared" si="22"/>
        <v>830.32073302219555</v>
      </c>
      <c r="S62" s="37">
        <f t="shared" si="22"/>
        <v>848.33828915773074</v>
      </c>
      <c r="T62" s="37">
        <f t="shared" si="22"/>
        <v>866.21649372794423</v>
      </c>
      <c r="U62" s="37">
        <f t="shared" si="22"/>
        <v>883.76989548877202</v>
      </c>
      <c r="V62" s="37">
        <f t="shared" si="22"/>
        <v>901.03003945268983</v>
      </c>
      <c r="W62" s="37">
        <f t="shared" si="22"/>
        <v>917.93845466907794</v>
      </c>
      <c r="X62" s="37">
        <f t="shared" si="22"/>
        <v>934.57436987879623</v>
      </c>
      <c r="Y62" s="37">
        <f t="shared" si="22"/>
        <v>950.87708753264701</v>
      </c>
      <c r="Z62" s="37">
        <f t="shared" si="22"/>
        <v>966.87631025073404</v>
      </c>
      <c r="AA62" s="37">
        <f t="shared" si="22"/>
        <v>982.56143622220873</v>
      </c>
      <c r="AB62" s="37">
        <f t="shared" si="22"/>
        <v>997.86132535771947</v>
      </c>
    </row>
    <row r="63" spans="1:28" x14ac:dyDescent="0.25">
      <c r="A63" s="4" t="s">
        <v>220</v>
      </c>
      <c r="B63" s="37">
        <f t="shared" ref="B63:AB63" si="23">B43*B15*$F$9</f>
        <v>612.94112415355335</v>
      </c>
      <c r="C63" s="37">
        <f t="shared" si="23"/>
        <v>626.16802643454116</v>
      </c>
      <c r="D63" s="37">
        <f t="shared" si="23"/>
        <v>638.51388232520264</v>
      </c>
      <c r="E63" s="37">
        <f t="shared" si="23"/>
        <v>652.04870895730983</v>
      </c>
      <c r="F63" s="37">
        <f t="shared" si="23"/>
        <v>665.69463834179192</v>
      </c>
      <c r="G63" s="37">
        <f t="shared" si="23"/>
        <v>680.40245828226534</v>
      </c>
      <c r="H63" s="37">
        <f t="shared" si="23"/>
        <v>695.55466300724231</v>
      </c>
      <c r="I63" s="37">
        <f t="shared" si="23"/>
        <v>709.10611794733109</v>
      </c>
      <c r="J63" s="37">
        <f t="shared" si="23"/>
        <v>722.92766237329954</v>
      </c>
      <c r="K63" s="37">
        <f t="shared" si="23"/>
        <v>737.79407910158102</v>
      </c>
      <c r="L63" s="37">
        <f t="shared" si="23"/>
        <v>752.99110199475899</v>
      </c>
      <c r="M63" s="37">
        <f t="shared" si="23"/>
        <v>768.74569682560195</v>
      </c>
      <c r="N63" s="37">
        <f t="shared" si="23"/>
        <v>784.71702146095106</v>
      </c>
      <c r="O63" s="37">
        <f t="shared" si="23"/>
        <v>800.96519307135713</v>
      </c>
      <c r="P63" s="37">
        <f t="shared" si="23"/>
        <v>817.69763728392604</v>
      </c>
      <c r="Q63" s="37">
        <f t="shared" si="23"/>
        <v>834.8036604016844</v>
      </c>
      <c r="R63" s="37">
        <f t="shared" si="23"/>
        <v>852.12119928273523</v>
      </c>
      <c r="S63" s="37">
        <f t="shared" si="23"/>
        <v>868.39483787123197</v>
      </c>
      <c r="T63" s="37">
        <f t="shared" si="23"/>
        <v>884.81954911989669</v>
      </c>
      <c r="U63" s="37">
        <f t="shared" si="23"/>
        <v>901.16197091453046</v>
      </c>
      <c r="V63" s="37">
        <f t="shared" si="23"/>
        <v>917.16299279464249</v>
      </c>
      <c r="W63" s="37">
        <f t="shared" si="23"/>
        <v>933.38322193125555</v>
      </c>
      <c r="X63" s="37">
        <f t="shared" si="23"/>
        <v>949.37126511935139</v>
      </c>
      <c r="Y63" s="37">
        <f t="shared" si="23"/>
        <v>965.39699020181752</v>
      </c>
      <c r="Z63" s="37">
        <f t="shared" si="23"/>
        <v>981.08884205419963</v>
      </c>
      <c r="AA63" s="37">
        <f t="shared" si="23"/>
        <v>996.59192546808765</v>
      </c>
      <c r="AB63" s="37">
        <f t="shared" si="23"/>
        <v>1012.0569301769357</v>
      </c>
    </row>
    <row r="64" spans="1:28" x14ac:dyDescent="0.25">
      <c r="A64" s="4" t="s">
        <v>221</v>
      </c>
      <c r="B64" s="37">
        <f t="shared" ref="B64:AB64" si="24">B44*B15*$F$10</f>
        <v>1606.1256644754114</v>
      </c>
      <c r="C64" s="37">
        <f t="shared" si="24"/>
        <v>1661.8970829445741</v>
      </c>
      <c r="D64" s="37">
        <f t="shared" si="24"/>
        <v>1714.9402461045242</v>
      </c>
      <c r="E64" s="37">
        <f t="shared" si="24"/>
        <v>1769.2520122600099</v>
      </c>
      <c r="F64" s="37">
        <f t="shared" si="24"/>
        <v>1824.8557737530077</v>
      </c>
      <c r="G64" s="37">
        <f t="shared" si="24"/>
        <v>1881.9781143426658</v>
      </c>
      <c r="H64" s="37">
        <f t="shared" si="24"/>
        <v>1941.2369445239208</v>
      </c>
      <c r="I64" s="37">
        <f t="shared" si="24"/>
        <v>1997.2677995560855</v>
      </c>
      <c r="J64" s="37">
        <f t="shared" si="24"/>
        <v>2054.6289702803228</v>
      </c>
      <c r="K64" s="37">
        <f t="shared" si="24"/>
        <v>2113.7858460803618</v>
      </c>
      <c r="L64" s="37">
        <f t="shared" si="24"/>
        <v>2175.0868481210327</v>
      </c>
      <c r="M64" s="37">
        <f t="shared" si="24"/>
        <v>2237.9886951505978</v>
      </c>
      <c r="N64" s="37">
        <f t="shared" si="24"/>
        <v>2303.0638026697261</v>
      </c>
      <c r="O64" s="37">
        <f t="shared" si="24"/>
        <v>2369.9177268319427</v>
      </c>
      <c r="P64" s="37">
        <f t="shared" si="24"/>
        <v>2438.4375275864259</v>
      </c>
      <c r="Q64" s="37">
        <f t="shared" si="24"/>
        <v>2508.7228660880774</v>
      </c>
      <c r="R64" s="37">
        <f t="shared" si="24"/>
        <v>2580.2607333754654</v>
      </c>
      <c r="S64" s="37">
        <f t="shared" si="24"/>
        <v>2649.9917632816368</v>
      </c>
      <c r="T64" s="37">
        <f t="shared" si="24"/>
        <v>2720.7323159100092</v>
      </c>
      <c r="U64" s="37">
        <f t="shared" si="24"/>
        <v>2792.2922779540163</v>
      </c>
      <c r="V64" s="37">
        <f t="shared" si="24"/>
        <v>2864.2930049600318</v>
      </c>
      <c r="W64" s="37">
        <f t="shared" si="24"/>
        <v>2936.3354737257664</v>
      </c>
      <c r="X64" s="37">
        <f t="shared" si="24"/>
        <v>3008.7717102416959</v>
      </c>
      <c r="Y64" s="37">
        <f t="shared" si="24"/>
        <v>3080.9922434360396</v>
      </c>
      <c r="Z64" s="37">
        <f t="shared" si="24"/>
        <v>3152.9535093368277</v>
      </c>
      <c r="AA64" s="37">
        <f t="shared" si="24"/>
        <v>3223.9470521494272</v>
      </c>
      <c r="AB64" s="37">
        <f t="shared" si="24"/>
        <v>3293.8871388443695</v>
      </c>
    </row>
    <row r="65" spans="1:28" x14ac:dyDescent="0.25">
      <c r="A65" s="4" t="s">
        <v>222</v>
      </c>
      <c r="B65" s="37">
        <f t="shared" ref="B65:AB65" si="25">B45*B15*$F$11</f>
        <v>24837.882974766042</v>
      </c>
      <c r="C65" s="37">
        <f t="shared" si="25"/>
        <v>25202.396769606894</v>
      </c>
      <c r="D65" s="37">
        <f t="shared" si="25"/>
        <v>25505.982440494081</v>
      </c>
      <c r="E65" s="37">
        <f t="shared" si="25"/>
        <v>25814.143067695037</v>
      </c>
      <c r="F65" s="37">
        <f t="shared" si="25"/>
        <v>26131.966377473775</v>
      </c>
      <c r="G65" s="37">
        <f t="shared" si="25"/>
        <v>26460.266951296264</v>
      </c>
      <c r="H65" s="37">
        <f t="shared" si="25"/>
        <v>26798.379987962067</v>
      </c>
      <c r="I65" s="37">
        <f t="shared" si="25"/>
        <v>27070.958617494609</v>
      </c>
      <c r="J65" s="37">
        <f t="shared" si="25"/>
        <v>27347.363428542092</v>
      </c>
      <c r="K65" s="37">
        <f t="shared" si="25"/>
        <v>27622.869038166125</v>
      </c>
      <c r="L65" s="37">
        <f t="shared" si="25"/>
        <v>27895.332319629888</v>
      </c>
      <c r="M65" s="37">
        <f t="shared" si="25"/>
        <v>28164.391627430647</v>
      </c>
      <c r="N65" s="37">
        <f t="shared" si="25"/>
        <v>28424.3506790789</v>
      </c>
      <c r="O65" s="37">
        <f t="shared" si="25"/>
        <v>28672.174730609273</v>
      </c>
      <c r="P65" s="37">
        <f t="shared" si="25"/>
        <v>28905.359875501632</v>
      </c>
      <c r="Q65" s="37">
        <f t="shared" si="25"/>
        <v>29119.201498373131</v>
      </c>
      <c r="R65" s="37">
        <f t="shared" si="25"/>
        <v>29310.877863384765</v>
      </c>
      <c r="S65" s="37">
        <f t="shared" si="25"/>
        <v>29443.926914445776</v>
      </c>
      <c r="T65" s="37">
        <f t="shared" si="25"/>
        <v>29550.074084499822</v>
      </c>
      <c r="U65" s="37">
        <f t="shared" si="25"/>
        <v>29629.215752200857</v>
      </c>
      <c r="V65" s="37">
        <f t="shared" si="25"/>
        <v>29674.285449987074</v>
      </c>
      <c r="W65" s="37">
        <f t="shared" si="25"/>
        <v>29683.768737894436</v>
      </c>
      <c r="X65" s="37">
        <f t="shared" si="25"/>
        <v>29657.385439992464</v>
      </c>
      <c r="Y65" s="37">
        <f t="shared" si="25"/>
        <v>29611.20080027022</v>
      </c>
      <c r="Z65" s="37">
        <f t="shared" si="25"/>
        <v>29531.867089123389</v>
      </c>
      <c r="AA65" s="37">
        <f t="shared" si="25"/>
        <v>29419.063492290596</v>
      </c>
      <c r="AB65" s="37">
        <f t="shared" si="25"/>
        <v>29274.969297589945</v>
      </c>
    </row>
    <row r="67" spans="1:28" x14ac:dyDescent="0.25">
      <c r="A67" s="4" t="s">
        <v>328</v>
      </c>
    </row>
    <row r="68" spans="1:28" x14ac:dyDescent="0.25">
      <c r="A68" s="4" t="s">
        <v>329</v>
      </c>
      <c r="B68" s="40">
        <f t="shared" ref="B68:AB68" si="26">B48+B49</f>
        <v>149.27800327170229</v>
      </c>
      <c r="C68" s="40">
        <f t="shared" si="26"/>
        <v>148.21054525718188</v>
      </c>
      <c r="D68" s="40">
        <f t="shared" si="26"/>
        <v>146.81387854104025</v>
      </c>
      <c r="E68" s="40">
        <f t="shared" si="26"/>
        <v>145.43420068302802</v>
      </c>
      <c r="F68" s="40">
        <f t="shared" si="26"/>
        <v>144.04606181808143</v>
      </c>
      <c r="G68" s="40">
        <f t="shared" si="26"/>
        <v>142.66697087972344</v>
      </c>
      <c r="H68" s="40">
        <f t="shared" si="26"/>
        <v>141.28921528979106</v>
      </c>
      <c r="I68" s="40">
        <f t="shared" si="26"/>
        <v>139.54694100369852</v>
      </c>
      <c r="J68" s="40">
        <f t="shared" si="26"/>
        <v>137.80773985468505</v>
      </c>
      <c r="K68" s="40">
        <f t="shared" si="26"/>
        <v>136.05974321013554</v>
      </c>
      <c r="L68" s="40">
        <f t="shared" si="26"/>
        <v>134.3101324937968</v>
      </c>
      <c r="M68" s="40">
        <f t="shared" si="26"/>
        <v>132.55184015585041</v>
      </c>
      <c r="N68" s="40">
        <f t="shared" si="26"/>
        <v>130.80168964808118</v>
      </c>
      <c r="O68" s="40">
        <f t="shared" si="26"/>
        <v>129.02310449495644</v>
      </c>
      <c r="P68" s="40">
        <f t="shared" si="26"/>
        <v>127.2189263696512</v>
      </c>
      <c r="Q68" s="40">
        <f t="shared" si="26"/>
        <v>125.41175611565271</v>
      </c>
      <c r="R68" s="40">
        <f t="shared" si="26"/>
        <v>123.58516267508227</v>
      </c>
      <c r="S68" s="40">
        <f t="shared" si="26"/>
        <v>121.6226585027229</v>
      </c>
      <c r="T68" s="40">
        <f t="shared" si="26"/>
        <v>119.67560708310776</v>
      </c>
      <c r="U68" s="40">
        <f t="shared" si="26"/>
        <v>117.75862432896434</v>
      </c>
      <c r="V68" s="40">
        <f t="shared" si="26"/>
        <v>115.88575399923815</v>
      </c>
      <c r="W68" s="40">
        <f t="shared" si="26"/>
        <v>114.05469274353376</v>
      </c>
      <c r="X68" s="40">
        <f t="shared" si="26"/>
        <v>112.30476487590391</v>
      </c>
      <c r="Y68" s="40">
        <f t="shared" si="26"/>
        <v>110.60808489091266</v>
      </c>
      <c r="Z68" s="40">
        <f t="shared" si="26"/>
        <v>108.96332176550146</v>
      </c>
      <c r="AA68" s="40">
        <f t="shared" si="26"/>
        <v>107.36749047505086</v>
      </c>
      <c r="AB68" s="40">
        <f t="shared" si="26"/>
        <v>105.83425853223105</v>
      </c>
    </row>
    <row r="69" spans="1:28" x14ac:dyDescent="0.25">
      <c r="A69" s="4" t="s">
        <v>330</v>
      </c>
      <c r="B69" s="40">
        <f t="shared" ref="B69:AB69" si="27">B50+B51+B52+B53</f>
        <v>135.50831993619389</v>
      </c>
      <c r="C69" s="40">
        <f t="shared" si="27"/>
        <v>134.66632985954848</v>
      </c>
      <c r="D69" s="40">
        <f t="shared" si="27"/>
        <v>133.51949612266802</v>
      </c>
      <c r="E69" s="40">
        <f t="shared" si="27"/>
        <v>132.39025768842288</v>
      </c>
      <c r="F69" s="40">
        <f t="shared" si="27"/>
        <v>131.25750497128141</v>
      </c>
      <c r="G69" s="40">
        <f t="shared" si="27"/>
        <v>130.13033328376514</v>
      </c>
      <c r="H69" s="40">
        <f t="shared" si="27"/>
        <v>129.01238392788196</v>
      </c>
      <c r="I69" s="40">
        <f t="shared" si="27"/>
        <v>127.55351179555981</v>
      </c>
      <c r="J69" s="40">
        <f t="shared" si="27"/>
        <v>126.08865308706226</v>
      </c>
      <c r="K69" s="40">
        <f t="shared" si="27"/>
        <v>124.59655933866703</v>
      </c>
      <c r="L69" s="40">
        <f t="shared" si="27"/>
        <v>123.09318953086066</v>
      </c>
      <c r="M69" s="40">
        <f t="shared" si="27"/>
        <v>121.55615998232616</v>
      </c>
      <c r="N69" s="40">
        <f t="shared" si="27"/>
        <v>120.01811979408647</v>
      </c>
      <c r="O69" s="40">
        <f t="shared" si="27"/>
        <v>118.42650620253499</v>
      </c>
      <c r="P69" s="40">
        <f t="shared" si="27"/>
        <v>116.80377868720356</v>
      </c>
      <c r="Q69" s="40">
        <f t="shared" si="27"/>
        <v>115.156603157315</v>
      </c>
      <c r="R69" s="40">
        <f t="shared" si="27"/>
        <v>113.48466238269538</v>
      </c>
      <c r="S69" s="40">
        <f t="shared" si="27"/>
        <v>111.67844886784317</v>
      </c>
      <c r="T69" s="40">
        <f t="shared" si="27"/>
        <v>109.87521394034897</v>
      </c>
      <c r="U69" s="40">
        <f t="shared" si="27"/>
        <v>108.10813484130536</v>
      </c>
      <c r="V69" s="40">
        <f t="shared" si="27"/>
        <v>106.37080119248894</v>
      </c>
      <c r="W69" s="40">
        <f t="shared" si="27"/>
        <v>104.68114238308058</v>
      </c>
      <c r="X69" s="40">
        <f t="shared" si="27"/>
        <v>103.06999006281752</v>
      </c>
      <c r="Y69" s="40">
        <f t="shared" si="27"/>
        <v>101.4911100502452</v>
      </c>
      <c r="Z69" s="40">
        <f t="shared" si="27"/>
        <v>99.974084525667379</v>
      </c>
      <c r="AA69" s="40">
        <f t="shared" si="27"/>
        <v>98.500643634242806</v>
      </c>
      <c r="AB69" s="40">
        <f t="shared" si="27"/>
        <v>97.093466751632292</v>
      </c>
    </row>
    <row r="70" spans="1:28" x14ac:dyDescent="0.25">
      <c r="A70" s="4" t="s">
        <v>331</v>
      </c>
      <c r="B70" s="40">
        <f t="shared" ref="B70:AB70" si="28">B54+B55</f>
        <v>147.45923117163503</v>
      </c>
      <c r="C70" s="40">
        <f t="shared" si="28"/>
        <v>146.28358783332325</v>
      </c>
      <c r="D70" s="40">
        <f t="shared" si="28"/>
        <v>144.776900735787</v>
      </c>
      <c r="E70" s="40">
        <f t="shared" si="28"/>
        <v>143.28389653636583</v>
      </c>
      <c r="F70" s="40">
        <f t="shared" si="28"/>
        <v>141.77157564861727</v>
      </c>
      <c r="G70" s="40">
        <f t="shared" si="28"/>
        <v>140.27938626547581</v>
      </c>
      <c r="H70" s="40">
        <f t="shared" si="28"/>
        <v>138.78999358662523</v>
      </c>
      <c r="I70" s="40">
        <f t="shared" si="28"/>
        <v>136.94411820907362</v>
      </c>
      <c r="J70" s="40">
        <f t="shared" si="28"/>
        <v>135.1064040811809</v>
      </c>
      <c r="K70" s="40">
        <f t="shared" si="28"/>
        <v>133.26265591082208</v>
      </c>
      <c r="L70" s="40">
        <f t="shared" si="28"/>
        <v>131.42493048574397</v>
      </c>
      <c r="M70" s="40">
        <f t="shared" si="28"/>
        <v>129.58394045666768</v>
      </c>
      <c r="N70" s="40">
        <f t="shared" si="28"/>
        <v>127.75751212019151</v>
      </c>
      <c r="O70" s="40">
        <f t="shared" si="28"/>
        <v>125.90913768687436</v>
      </c>
      <c r="P70" s="40">
        <f t="shared" si="28"/>
        <v>124.04706527420667</v>
      </c>
      <c r="Q70" s="40">
        <f t="shared" si="28"/>
        <v>122.18900258010412</v>
      </c>
      <c r="R70" s="40">
        <f t="shared" si="28"/>
        <v>120.32459709071532</v>
      </c>
      <c r="S70" s="40">
        <f t="shared" si="28"/>
        <v>118.32648892722231</v>
      </c>
      <c r="T70" s="40">
        <f t="shared" si="28"/>
        <v>116.35359870608997</v>
      </c>
      <c r="U70" s="40">
        <f t="shared" si="28"/>
        <v>114.42171812973267</v>
      </c>
      <c r="V70" s="40">
        <f t="shared" si="28"/>
        <v>112.53496876097383</v>
      </c>
      <c r="W70" s="40">
        <f t="shared" si="28"/>
        <v>110.70470092367151</v>
      </c>
      <c r="X70" s="40">
        <f t="shared" si="28"/>
        <v>108.94438230638076</v>
      </c>
      <c r="Y70" s="40">
        <f t="shared" si="28"/>
        <v>107.24239467271936</v>
      </c>
      <c r="Z70" s="40">
        <f t="shared" si="28"/>
        <v>105.59369513202773</v>
      </c>
      <c r="AA70" s="40">
        <f t="shared" si="28"/>
        <v>103.99336815812131</v>
      </c>
      <c r="AB70" s="40">
        <f t="shared" si="28"/>
        <v>102.4538530443041</v>
      </c>
    </row>
    <row r="71" spans="1:28" x14ac:dyDescent="0.25">
      <c r="A71" s="4" t="s">
        <v>332</v>
      </c>
      <c r="B71" s="40">
        <f t="shared" ref="B71:AB71" si="29">B58+B59</f>
        <v>25521.162287015817</v>
      </c>
      <c r="C71" s="40">
        <f t="shared" si="29"/>
        <v>25940.308235801953</v>
      </c>
      <c r="D71" s="40">
        <f t="shared" si="29"/>
        <v>26298.500048838388</v>
      </c>
      <c r="E71" s="40">
        <f t="shared" si="29"/>
        <v>26662.646507846286</v>
      </c>
      <c r="F71" s="40">
        <f t="shared" si="29"/>
        <v>27037.52531930738</v>
      </c>
      <c r="G71" s="40">
        <f t="shared" si="29"/>
        <v>27424.209083088674</v>
      </c>
      <c r="H71" s="40">
        <f t="shared" si="29"/>
        <v>27822.896478803334</v>
      </c>
      <c r="I71" s="40">
        <f t="shared" si="29"/>
        <v>28155.495578546288</v>
      </c>
      <c r="J71" s="40">
        <f t="shared" si="29"/>
        <v>28493.365098496644</v>
      </c>
      <c r="K71" s="40">
        <f t="shared" si="29"/>
        <v>28832.749573259105</v>
      </c>
      <c r="L71" s="40">
        <f t="shared" si="29"/>
        <v>29172.105686460462</v>
      </c>
      <c r="M71" s="40">
        <f t="shared" si="29"/>
        <v>29510.35688868635</v>
      </c>
      <c r="N71" s="40">
        <f t="shared" si="29"/>
        <v>29842.962298409686</v>
      </c>
      <c r="O71" s="40">
        <f t="shared" si="29"/>
        <v>30166.561186828618</v>
      </c>
      <c r="P71" s="40">
        <f t="shared" si="29"/>
        <v>30478.633606723793</v>
      </c>
      <c r="Q71" s="40">
        <f t="shared" si="29"/>
        <v>30774.947033140204</v>
      </c>
      <c r="R71" s="40">
        <f t="shared" si="29"/>
        <v>31052.135199132019</v>
      </c>
      <c r="S71" s="40">
        <f t="shared" si="29"/>
        <v>31271.812739499885</v>
      </c>
      <c r="T71" s="40">
        <f t="shared" si="29"/>
        <v>31467.626653283798</v>
      </c>
      <c r="U71" s="40">
        <f t="shared" si="29"/>
        <v>31639.245764453342</v>
      </c>
      <c r="V71" s="40">
        <f t="shared" si="29"/>
        <v>31779.515523796676</v>
      </c>
      <c r="W71" s="40">
        <f t="shared" si="29"/>
        <v>31886.515562750235</v>
      </c>
      <c r="X71" s="40">
        <f t="shared" si="29"/>
        <v>31960.444912613129</v>
      </c>
      <c r="Y71" s="40">
        <f t="shared" si="29"/>
        <v>32015.53257637292</v>
      </c>
      <c r="Z71" s="40">
        <f t="shared" si="29"/>
        <v>32039.205107044807</v>
      </c>
      <c r="AA71" s="40">
        <f t="shared" si="29"/>
        <v>32030.229618305933</v>
      </c>
      <c r="AB71" s="40">
        <f t="shared" si="29"/>
        <v>31990.546596570472</v>
      </c>
    </row>
    <row r="72" spans="1:28" x14ac:dyDescent="0.25">
      <c r="A72" s="4" t="s">
        <v>333</v>
      </c>
      <c r="B72" s="40">
        <f t="shared" ref="B72:AB72" si="30">B60+B61+B62+B63</f>
        <v>26119.830377524177</v>
      </c>
      <c r="C72" s="40">
        <f t="shared" si="30"/>
        <v>26547.805496066911</v>
      </c>
      <c r="D72" s="40">
        <f t="shared" si="30"/>
        <v>26912.641645741947</v>
      </c>
      <c r="E72" s="40">
        <f t="shared" si="30"/>
        <v>27282.991685557583</v>
      </c>
      <c r="F72" s="40">
        <f t="shared" si="30"/>
        <v>27663.478589154245</v>
      </c>
      <c r="G72" s="40">
        <f t="shared" si="30"/>
        <v>28055.185442342463</v>
      </c>
      <c r="H72" s="40">
        <f t="shared" si="30"/>
        <v>28458.428000646531</v>
      </c>
      <c r="I72" s="40">
        <f t="shared" si="30"/>
        <v>28792.994146400513</v>
      </c>
      <c r="J72" s="40">
        <f t="shared" si="30"/>
        <v>29132.136000967177</v>
      </c>
      <c r="K72" s="40">
        <f t="shared" si="30"/>
        <v>29471.781189550562</v>
      </c>
      <c r="L72" s="40">
        <f t="shared" si="30"/>
        <v>29810.049366415155</v>
      </c>
      <c r="M72" s="40">
        <f t="shared" si="30"/>
        <v>30145.973762859066</v>
      </c>
      <c r="N72" s="40">
        <f t="shared" si="30"/>
        <v>30474.394603376364</v>
      </c>
      <c r="O72" s="40">
        <f t="shared" si="30"/>
        <v>30792.236198668215</v>
      </c>
      <c r="P72" s="40">
        <f t="shared" si="30"/>
        <v>31096.430112009908</v>
      </c>
      <c r="Q72" s="40">
        <f t="shared" si="30"/>
        <v>31382.810351234606</v>
      </c>
      <c r="R72" s="40">
        <f t="shared" si="30"/>
        <v>31647.722206826544</v>
      </c>
      <c r="S72" s="40">
        <f t="shared" si="30"/>
        <v>31851.914089257141</v>
      </c>
      <c r="T72" s="40">
        <f t="shared" si="30"/>
        <v>32029.964018785773</v>
      </c>
      <c r="U72" s="40">
        <f t="shared" si="30"/>
        <v>32181.653266738158</v>
      </c>
      <c r="V72" s="40">
        <f t="shared" si="30"/>
        <v>32299.149476447346</v>
      </c>
      <c r="W72" s="40">
        <f t="shared" si="30"/>
        <v>32380.722279002101</v>
      </c>
      <c r="X72" s="40">
        <f t="shared" si="30"/>
        <v>32426.746006212074</v>
      </c>
      <c r="Y72" s="40">
        <f t="shared" si="30"/>
        <v>32452.74902396839</v>
      </c>
      <c r="Z72" s="40">
        <f t="shared" si="30"/>
        <v>32445.181556216874</v>
      </c>
      <c r="AA72" s="40">
        <f t="shared" si="30"/>
        <v>32402.609067221489</v>
      </c>
      <c r="AB72" s="40">
        <f t="shared" si="30"/>
        <v>32327.567775502601</v>
      </c>
    </row>
    <row r="73" spans="1:28" x14ac:dyDescent="0.25">
      <c r="A73" s="4" t="s">
        <v>334</v>
      </c>
      <c r="B73" s="40">
        <f t="shared" ref="B73:AB73" si="31">B64+B65</f>
        <v>26444.008639241452</v>
      </c>
      <c r="C73" s="40">
        <f t="shared" si="31"/>
        <v>26864.293852551469</v>
      </c>
      <c r="D73" s="40">
        <f t="shared" si="31"/>
        <v>27220.922686598606</v>
      </c>
      <c r="E73" s="40">
        <f t="shared" si="31"/>
        <v>27583.395079955048</v>
      </c>
      <c r="F73" s="40">
        <f t="shared" si="31"/>
        <v>27956.822151226781</v>
      </c>
      <c r="G73" s="40">
        <f t="shared" si="31"/>
        <v>28342.24506563893</v>
      </c>
      <c r="H73" s="40">
        <f t="shared" si="31"/>
        <v>28739.616932485987</v>
      </c>
      <c r="I73" s="40">
        <f t="shared" si="31"/>
        <v>29068.226417050693</v>
      </c>
      <c r="J73" s="40">
        <f t="shared" si="31"/>
        <v>29401.992398822415</v>
      </c>
      <c r="K73" s="40">
        <f t="shared" si="31"/>
        <v>29736.654884246487</v>
      </c>
      <c r="L73" s="40">
        <f t="shared" si="31"/>
        <v>30070.419167750922</v>
      </c>
      <c r="M73" s="40">
        <f t="shared" si="31"/>
        <v>30402.380322581244</v>
      </c>
      <c r="N73" s="40">
        <f t="shared" si="31"/>
        <v>30727.414481748627</v>
      </c>
      <c r="O73" s="40">
        <f t="shared" si="31"/>
        <v>31042.092457441217</v>
      </c>
      <c r="P73" s="40">
        <f t="shared" si="31"/>
        <v>31343.797403088058</v>
      </c>
      <c r="Q73" s="40">
        <f t="shared" si="31"/>
        <v>31627.924364461207</v>
      </c>
      <c r="R73" s="40">
        <f t="shared" si="31"/>
        <v>31891.138596760229</v>
      </c>
      <c r="S73" s="40">
        <f t="shared" si="31"/>
        <v>32093.918677727412</v>
      </c>
      <c r="T73" s="40">
        <f t="shared" si="31"/>
        <v>32270.806400409831</v>
      </c>
      <c r="U73" s="40">
        <f t="shared" si="31"/>
        <v>32421.508030154873</v>
      </c>
      <c r="V73" s="40">
        <f t="shared" si="31"/>
        <v>32538.578454947106</v>
      </c>
      <c r="W73" s="40">
        <f t="shared" si="31"/>
        <v>32620.104211620201</v>
      </c>
      <c r="X73" s="40">
        <f t="shared" si="31"/>
        <v>32666.157150234161</v>
      </c>
      <c r="Y73" s="40">
        <f t="shared" si="31"/>
        <v>32692.193043706262</v>
      </c>
      <c r="Z73" s="40">
        <f t="shared" si="31"/>
        <v>32684.820598460217</v>
      </c>
      <c r="AA73" s="40">
        <f t="shared" si="31"/>
        <v>32643.010544440021</v>
      </c>
      <c r="AB73" s="40">
        <f t="shared" si="31"/>
        <v>32568.856436434315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83.926969930727239</v>
      </c>
      <c r="C2" s="37">
        <f>BDbDT_calcs!C48</f>
        <v>83.250419301145882</v>
      </c>
      <c r="D2" s="37">
        <f>BDbDT_calcs!D48</f>
        <v>82.385302834745858</v>
      </c>
      <c r="E2" s="37">
        <f>BDbDT_calcs!E48</f>
        <v>81.535007214383356</v>
      </c>
      <c r="F2" s="37">
        <f>BDbDT_calcs!F48</f>
        <v>80.682264417476702</v>
      </c>
      <c r="G2" s="37">
        <f>BDbDT_calcs!G48</f>
        <v>79.827180295665286</v>
      </c>
      <c r="H2" s="37">
        <f>BDbDT_calcs!H48</f>
        <v>78.970265716067757</v>
      </c>
      <c r="I2" s="37">
        <f>BDbDT_calcs!I48</f>
        <v>77.94571791127548</v>
      </c>
      <c r="J2" s="37">
        <f>BDbDT_calcs!J48</f>
        <v>76.882112337021411</v>
      </c>
      <c r="K2" s="37">
        <f>BDbDT_calcs!K48</f>
        <v>75.846658459761528</v>
      </c>
      <c r="L2" s="37">
        <f>BDbDT_calcs!L48</f>
        <v>74.778427769220229</v>
      </c>
      <c r="M2" s="37">
        <f>BDbDT_calcs!M48</f>
        <v>73.738061097661429</v>
      </c>
      <c r="N2" s="37">
        <f>BDbDT_calcs!N48</f>
        <v>72.733645370144671</v>
      </c>
      <c r="O2" s="37">
        <f>BDbDT_calcs!O48</f>
        <v>71.64486978591934</v>
      </c>
      <c r="P2" s="37">
        <f>BDbDT_calcs!P48</f>
        <v>70.600194233291077</v>
      </c>
      <c r="Q2" s="37">
        <f>BDbDT_calcs!Q48</f>
        <v>69.522269014441676</v>
      </c>
      <c r="R2" s="37">
        <f>BDbDT_calcs!R48</f>
        <v>68.453218855124916</v>
      </c>
      <c r="S2" s="37">
        <f>BDbDT_calcs!S48</f>
        <v>67.298027408511501</v>
      </c>
      <c r="T2" s="37">
        <f>BDbDT_calcs!T48</f>
        <v>66.161030514420247</v>
      </c>
      <c r="U2" s="37">
        <f>BDbDT_calcs!U48</f>
        <v>65.04113734496201</v>
      </c>
      <c r="V2" s="37">
        <f>BDbDT_calcs!V48</f>
        <v>63.937088240479362</v>
      </c>
      <c r="W2" s="37">
        <f>BDbDT_calcs!W48</f>
        <v>62.855880460573111</v>
      </c>
      <c r="X2" s="37">
        <f>BDbDT_calcs!X48</f>
        <v>61.854066505515398</v>
      </c>
      <c r="Y2" s="37">
        <f>BDbDT_calcs!Y48</f>
        <v>60.86411122891036</v>
      </c>
      <c r="Z2" s="37">
        <f>BDbDT_calcs!Z48</f>
        <v>59.926000168926322</v>
      </c>
      <c r="AA2" s="37">
        <f>BDbDT_calcs!AA48</f>
        <v>59.005517396926834</v>
      </c>
      <c r="AB2" s="37">
        <f>BDbDT_calcs!AB48</f>
        <v>58.093443910445338</v>
      </c>
    </row>
    <row r="3" spans="1:28" x14ac:dyDescent="0.25">
      <c r="A3" s="4" t="s">
        <v>216</v>
      </c>
      <c r="B3" s="37">
        <f>BDbDT_calcs!B49</f>
        <v>65.351033340975064</v>
      </c>
      <c r="C3" s="37">
        <f>BDbDT_calcs!C49</f>
        <v>64.960125956035995</v>
      </c>
      <c r="D3" s="37">
        <f>BDbDT_calcs!D49</f>
        <v>64.42857570629441</v>
      </c>
      <c r="E3" s="37">
        <f>BDbDT_calcs!E49</f>
        <v>63.899193468644668</v>
      </c>
      <c r="F3" s="37">
        <f>BDbDT_calcs!F49</f>
        <v>63.363797400604724</v>
      </c>
      <c r="G3" s="37">
        <f>BDbDT_calcs!G49</f>
        <v>62.839790584058143</v>
      </c>
      <c r="H3" s="37">
        <f>BDbDT_calcs!H49</f>
        <v>62.318949573723287</v>
      </c>
      <c r="I3" s="37">
        <f>BDbDT_calcs!I49</f>
        <v>61.601223092423027</v>
      </c>
      <c r="J3" s="37">
        <f>BDbDT_calcs!J49</f>
        <v>60.925627517663628</v>
      </c>
      <c r="K3" s="37">
        <f>BDbDT_calcs!K49</f>
        <v>60.213084750374001</v>
      </c>
      <c r="L3" s="37">
        <f>BDbDT_calcs!L49</f>
        <v>59.531704724576578</v>
      </c>
      <c r="M3" s="37">
        <f>BDbDT_calcs!M49</f>
        <v>58.81377905818897</v>
      </c>
      <c r="N3" s="37">
        <f>BDbDT_calcs!N49</f>
        <v>58.068044277936508</v>
      </c>
      <c r="O3" s="37">
        <f>BDbDT_calcs!O49</f>
        <v>57.378234709037095</v>
      </c>
      <c r="P3" s="37">
        <f>BDbDT_calcs!P49</f>
        <v>56.618732136360116</v>
      </c>
      <c r="Q3" s="37">
        <f>BDbDT_calcs!Q49</f>
        <v>55.889487101211024</v>
      </c>
      <c r="R3" s="37">
        <f>BDbDT_calcs!R49</f>
        <v>55.131943819957357</v>
      </c>
      <c r="S3" s="37">
        <f>BDbDT_calcs!S49</f>
        <v>54.324631094211398</v>
      </c>
      <c r="T3" s="37">
        <f>BDbDT_calcs!T49</f>
        <v>53.514576568687509</v>
      </c>
      <c r="U3" s="37">
        <f>BDbDT_calcs!U49</f>
        <v>52.717486984002342</v>
      </c>
      <c r="V3" s="37">
        <f>BDbDT_calcs!V49</f>
        <v>51.948665758758786</v>
      </c>
      <c r="W3" s="37">
        <f>BDbDT_calcs!W49</f>
        <v>51.198812282960645</v>
      </c>
      <c r="X3" s="37">
        <f>BDbDT_calcs!X49</f>
        <v>50.450698370388523</v>
      </c>
      <c r="Y3" s="37">
        <f>BDbDT_calcs!Y49</f>
        <v>49.743973662002304</v>
      </c>
      <c r="Z3" s="37">
        <f>BDbDT_calcs!Z49</f>
        <v>49.037321596575133</v>
      </c>
      <c r="AA3" s="37">
        <f>BDbDT_calcs!AA49</f>
        <v>48.361973078124031</v>
      </c>
      <c r="AB3" s="37">
        <f>BDbDT_calcs!AB49</f>
        <v>47.740814621785717</v>
      </c>
    </row>
    <row r="4" spans="1:28" x14ac:dyDescent="0.25">
      <c r="A4" s="4" t="s">
        <v>217</v>
      </c>
      <c r="B4" s="37">
        <f>BDbDT_calcs!B50</f>
        <v>98.745690566281723</v>
      </c>
      <c r="C4" s="37">
        <f>BDbDT_calcs!C50</f>
        <v>98.043515465570096</v>
      </c>
      <c r="D4" s="37">
        <f>BDbDT_calcs!D50</f>
        <v>97.139415931878958</v>
      </c>
      <c r="E4" s="37">
        <f>BDbDT_calcs!E50</f>
        <v>96.232262839067999</v>
      </c>
      <c r="F4" s="37">
        <f>BDbDT_calcs!F50</f>
        <v>95.332683292164219</v>
      </c>
      <c r="G4" s="37">
        <f>BDbDT_calcs!G50</f>
        <v>94.450682358144945</v>
      </c>
      <c r="H4" s="37">
        <f>BDbDT_calcs!H50</f>
        <v>93.547218003818855</v>
      </c>
      <c r="I4" s="37">
        <f>BDbDT_calcs!I50</f>
        <v>92.42311828672247</v>
      </c>
      <c r="J4" s="37">
        <f>BDbDT_calcs!J50</f>
        <v>91.275301449725745</v>
      </c>
      <c r="K4" s="37">
        <f>BDbDT_calcs!K50</f>
        <v>90.110551088198122</v>
      </c>
      <c r="L4" s="37">
        <f>BDbDT_calcs!L50</f>
        <v>88.919390676190886</v>
      </c>
      <c r="M4" s="37">
        <f>BDbDT_calcs!M50</f>
        <v>87.702077164241885</v>
      </c>
      <c r="N4" s="37">
        <f>BDbDT_calcs!N50</f>
        <v>86.458736644230569</v>
      </c>
      <c r="O4" s="37">
        <f>BDbDT_calcs!O50</f>
        <v>85.160634656313434</v>
      </c>
      <c r="P4" s="37">
        <f>BDbDT_calcs!P50</f>
        <v>83.846299323042928</v>
      </c>
      <c r="Q4" s="37">
        <f>BDbDT_calcs!Q50</f>
        <v>82.505804275355899</v>
      </c>
      <c r="R4" s="37">
        <f>BDbDT_calcs!R50</f>
        <v>81.138740946099631</v>
      </c>
      <c r="S4" s="37">
        <f>BDbDT_calcs!S50</f>
        <v>79.671880380026366</v>
      </c>
      <c r="T4" s="37">
        <f>BDbDT_calcs!T50</f>
        <v>78.227375273828557</v>
      </c>
      <c r="U4" s="37">
        <f>BDbDT_calcs!U50</f>
        <v>76.803887629505951</v>
      </c>
      <c r="V4" s="37">
        <f>BDbDT_calcs!V50</f>
        <v>75.40924398289394</v>
      </c>
      <c r="W4" s="37">
        <f>BDbDT_calcs!W50</f>
        <v>74.060411008869352</v>
      </c>
      <c r="X4" s="37">
        <f>BDbDT_calcs!X50</f>
        <v>72.764854863935355</v>
      </c>
      <c r="Y4" s="37">
        <f>BDbDT_calcs!Y50</f>
        <v>71.502591204687235</v>
      </c>
      <c r="Z4" s="37">
        <f>BDbDT_calcs!Z50</f>
        <v>70.281340237810568</v>
      </c>
      <c r="AA4" s="37">
        <f>BDbDT_calcs!AA50</f>
        <v>69.117960893425021</v>
      </c>
      <c r="AB4" s="37">
        <f>BDbDT_calcs!AB50</f>
        <v>67.99249620546631</v>
      </c>
    </row>
    <row r="5" spans="1:28" x14ac:dyDescent="0.25">
      <c r="A5" s="4" t="s">
        <v>218</v>
      </c>
      <c r="B5" s="37">
        <f>BDbDT_calcs!B51</f>
        <v>18.844132746912987</v>
      </c>
      <c r="C5" s="37">
        <f>BDbDT_calcs!C51</f>
        <v>18.580672380906947</v>
      </c>
      <c r="D5" s="37">
        <f>BDbDT_calcs!D51</f>
        <v>18.281487706114717</v>
      </c>
      <c r="E5" s="37">
        <f>BDbDT_calcs!E51</f>
        <v>17.978146864408455</v>
      </c>
      <c r="F5" s="37">
        <f>BDbDT_calcs!F51</f>
        <v>17.670755471397815</v>
      </c>
      <c r="G5" s="37">
        <f>BDbDT_calcs!G51</f>
        <v>17.367285063035297</v>
      </c>
      <c r="H5" s="37">
        <f>BDbDT_calcs!H51</f>
        <v>17.055833333561637</v>
      </c>
      <c r="I5" s="37">
        <f>BDbDT_calcs!I51</f>
        <v>16.70731216492916</v>
      </c>
      <c r="J5" s="37">
        <f>BDbDT_calcs!J51</f>
        <v>16.364683782489507</v>
      </c>
      <c r="K5" s="37">
        <f>BDbDT_calcs!K51</f>
        <v>16.02721669645781</v>
      </c>
      <c r="L5" s="37">
        <f>BDbDT_calcs!L51</f>
        <v>15.702612599829584</v>
      </c>
      <c r="M5" s="37">
        <f>BDbDT_calcs!M51</f>
        <v>15.394544269223612</v>
      </c>
      <c r="N5" s="37">
        <f>BDbDT_calcs!N51</f>
        <v>15.091108690048715</v>
      </c>
      <c r="O5" s="37">
        <f>BDbDT_calcs!O51</f>
        <v>14.803767298223606</v>
      </c>
      <c r="P5" s="37">
        <f>BDbDT_calcs!P51</f>
        <v>14.520703474136271</v>
      </c>
      <c r="Q5" s="37">
        <f>BDbDT_calcs!Q51</f>
        <v>14.249424369435333</v>
      </c>
      <c r="R5" s="37">
        <f>BDbDT_calcs!R51</f>
        <v>13.985853600042979</v>
      </c>
      <c r="S5" s="37">
        <f>BDbDT_calcs!S51</f>
        <v>13.710183866057969</v>
      </c>
      <c r="T5" s="37">
        <f>BDbDT_calcs!T51</f>
        <v>13.442345108453745</v>
      </c>
      <c r="U5" s="37">
        <f>BDbDT_calcs!U51</f>
        <v>13.178273555443484</v>
      </c>
      <c r="V5" s="37">
        <f>BDbDT_calcs!V51</f>
        <v>12.925225058350645</v>
      </c>
      <c r="W5" s="37">
        <f>BDbDT_calcs!W51</f>
        <v>12.671587502123549</v>
      </c>
      <c r="X5" s="37">
        <f>BDbDT_calcs!X51</f>
        <v>12.42834465443838</v>
      </c>
      <c r="Y5" s="37">
        <f>BDbDT_calcs!Y51</f>
        <v>12.198950705277797</v>
      </c>
      <c r="Z5" s="37">
        <f>BDbDT_calcs!Z51</f>
        <v>11.971927064335059</v>
      </c>
      <c r="AA5" s="37">
        <f>BDbDT_calcs!AA51</f>
        <v>11.754453034639498</v>
      </c>
      <c r="AB5" s="37">
        <f>BDbDT_calcs!AB51</f>
        <v>11.538879662839967</v>
      </c>
    </row>
    <row r="6" spans="1:28" x14ac:dyDescent="0.25">
      <c r="A6" s="4" t="s">
        <v>219</v>
      </c>
      <c r="B6" s="37">
        <f>BDbDT_calcs!B52</f>
        <v>4.0173622578117039</v>
      </c>
      <c r="C6" s="37">
        <f>BDbDT_calcs!C52</f>
        <v>4.0292607116918289</v>
      </c>
      <c r="D6" s="37">
        <f>BDbDT_calcs!D52</f>
        <v>4.0323190552289256</v>
      </c>
      <c r="E6" s="37">
        <f>BDbDT_calcs!E52</f>
        <v>4.0405024990252363</v>
      </c>
      <c r="F6" s="37">
        <f>BDbDT_calcs!F52</f>
        <v>4.0491898264305686</v>
      </c>
      <c r="G6" s="37">
        <f>BDbDT_calcs!G52</f>
        <v>4.0584028484676962</v>
      </c>
      <c r="H6" s="37">
        <f>BDbDT_calcs!H52</f>
        <v>4.0681857725626882</v>
      </c>
      <c r="I6" s="37">
        <f>BDbDT_calcs!I52</f>
        <v>4.0676133336273734</v>
      </c>
      <c r="J6" s="37">
        <f>BDbDT_calcs!J52</f>
        <v>4.0677090641581728</v>
      </c>
      <c r="K6" s="37">
        <f>BDbDT_calcs!K52</f>
        <v>4.077431978783487</v>
      </c>
      <c r="L6" s="37">
        <f>BDbDT_calcs!L52</f>
        <v>4.0785771435015166</v>
      </c>
      <c r="M6" s="37">
        <f>BDbDT_calcs!M52</f>
        <v>4.0802881535661859</v>
      </c>
      <c r="N6" s="37">
        <f>BDbDT_calcs!N52</f>
        <v>4.0825743707934192</v>
      </c>
      <c r="O6" s="37">
        <f>BDbDT_calcs!O52</f>
        <v>4.0854456104920756</v>
      </c>
      <c r="P6" s="37">
        <f>BDbDT_calcs!P52</f>
        <v>4.0844478243362072</v>
      </c>
      <c r="Q6" s="37">
        <f>BDbDT_calcs!Q52</f>
        <v>4.0885108515495556</v>
      </c>
      <c r="R6" s="37">
        <f>BDbDT_calcs!R52</f>
        <v>4.0842925743653371</v>
      </c>
      <c r="S6" s="37">
        <f>BDbDT_calcs!S52</f>
        <v>4.0804157695354473</v>
      </c>
      <c r="T6" s="37">
        <f>BDbDT_calcs!T52</f>
        <v>4.0814919846281743</v>
      </c>
      <c r="U6" s="37">
        <f>BDbDT_calcs!U52</f>
        <v>4.074305867410331</v>
      </c>
      <c r="V6" s="37">
        <f>BDbDT_calcs!V52</f>
        <v>4.0719890882069194</v>
      </c>
      <c r="W6" s="37">
        <f>BDbDT_calcs!W52</f>
        <v>4.0700929947612483</v>
      </c>
      <c r="X6" s="37">
        <f>BDbDT_calcs!X52</f>
        <v>4.0642324767797442</v>
      </c>
      <c r="Y6" s="37">
        <f>BDbDT_calcs!Y52</f>
        <v>4.0673559630371736</v>
      </c>
      <c r="Z6" s="37">
        <f>BDbDT_calcs!Z52</f>
        <v>4.0621262217610905</v>
      </c>
      <c r="AA6" s="37">
        <f>BDbDT_calcs!AA52</f>
        <v>4.0571439538792289</v>
      </c>
      <c r="AB6" s="37">
        <f>BDbDT_calcs!AB52</f>
        <v>4.0523544520141552</v>
      </c>
    </row>
    <row r="7" spans="1:28" x14ac:dyDescent="0.25">
      <c r="A7" s="4" t="s">
        <v>220</v>
      </c>
      <c r="B7" s="37">
        <f>BDbDT_calcs!B53</f>
        <v>13.901134365187486</v>
      </c>
      <c r="C7" s="37">
        <f>BDbDT_calcs!C53</f>
        <v>14.012881301379597</v>
      </c>
      <c r="D7" s="37">
        <f>BDbDT_calcs!D53</f>
        <v>14.066273429445429</v>
      </c>
      <c r="E7" s="37">
        <f>BDbDT_calcs!E53</f>
        <v>14.139345485921169</v>
      </c>
      <c r="F7" s="37">
        <f>BDbDT_calcs!F53</f>
        <v>14.2048763812888</v>
      </c>
      <c r="G7" s="37">
        <f>BDbDT_calcs!G53</f>
        <v>14.25396301411719</v>
      </c>
      <c r="H7" s="37">
        <f>BDbDT_calcs!H53</f>
        <v>14.341146817938773</v>
      </c>
      <c r="I7" s="37">
        <f>BDbDT_calcs!I53</f>
        <v>14.355468010280797</v>
      </c>
      <c r="J7" s="37">
        <f>BDbDT_calcs!J53</f>
        <v>14.380958790688817</v>
      </c>
      <c r="K7" s="37">
        <f>BDbDT_calcs!K53</f>
        <v>14.381359575227615</v>
      </c>
      <c r="L7" s="37">
        <f>BDbDT_calcs!L53</f>
        <v>14.392609111338679</v>
      </c>
      <c r="M7" s="37">
        <f>BDbDT_calcs!M53</f>
        <v>14.379250395294479</v>
      </c>
      <c r="N7" s="37">
        <f>BDbDT_calcs!N53</f>
        <v>14.385700089013762</v>
      </c>
      <c r="O7" s="37">
        <f>BDbDT_calcs!O53</f>
        <v>14.376658637505885</v>
      </c>
      <c r="P7" s="37">
        <f>BDbDT_calcs!P53</f>
        <v>14.352328065688159</v>
      </c>
      <c r="Q7" s="37">
        <f>BDbDT_calcs!Q53</f>
        <v>14.312863660974216</v>
      </c>
      <c r="R7" s="37">
        <f>BDbDT_calcs!R53</f>
        <v>14.27577526218742</v>
      </c>
      <c r="S7" s="37">
        <f>BDbDT_calcs!S53</f>
        <v>14.215968852223391</v>
      </c>
      <c r="T7" s="37">
        <f>BDbDT_calcs!T53</f>
        <v>14.124001573438493</v>
      </c>
      <c r="U7" s="37">
        <f>BDbDT_calcs!U53</f>
        <v>14.051667788945593</v>
      </c>
      <c r="V7" s="37">
        <f>BDbDT_calcs!V53</f>
        <v>13.964343063037434</v>
      </c>
      <c r="W7" s="37">
        <f>BDbDT_calcs!W53</f>
        <v>13.87905087732643</v>
      </c>
      <c r="X7" s="37">
        <f>BDbDT_calcs!X53</f>
        <v>13.812558067664039</v>
      </c>
      <c r="Y7" s="37">
        <f>BDbDT_calcs!Y53</f>
        <v>13.722212177243</v>
      </c>
      <c r="Z7" s="37">
        <f>BDbDT_calcs!Z53</f>
        <v>13.658691001760664</v>
      </c>
      <c r="AA7" s="37">
        <f>BDbDT_calcs!AA53</f>
        <v>13.571085752299057</v>
      </c>
      <c r="AB7" s="37">
        <f>BDbDT_calcs!AB53</f>
        <v>13.509736431311859</v>
      </c>
    </row>
    <row r="8" spans="1:28" x14ac:dyDescent="0.25">
      <c r="A8" s="4" t="s">
        <v>221</v>
      </c>
      <c r="B8" s="37">
        <f>BDbDT_calcs!B54</f>
        <v>24.667634360630394</v>
      </c>
      <c r="C8" s="37">
        <f>BDbDT_calcs!C54</f>
        <v>24.75749027232434</v>
      </c>
      <c r="D8" s="37">
        <f>BDbDT_calcs!D54</f>
        <v>24.805777793909716</v>
      </c>
      <c r="E8" s="37">
        <f>BDbDT_calcs!E54</f>
        <v>24.863285873171122</v>
      </c>
      <c r="F8" s="37">
        <f>BDbDT_calcs!F54</f>
        <v>24.942967375162841</v>
      </c>
      <c r="G8" s="37">
        <f>BDbDT_calcs!G54</f>
        <v>25.000344095521257</v>
      </c>
      <c r="H8" s="37">
        <f>BDbDT_calcs!H54</f>
        <v>25.054887341325852</v>
      </c>
      <c r="I8" s="37">
        <f>BDbDT_calcs!I54</f>
        <v>25.039381346906694</v>
      </c>
      <c r="J8" s="37">
        <f>BDbDT_calcs!J54</f>
        <v>25.015529979833271</v>
      </c>
      <c r="K8" s="37">
        <f>BDbDT_calcs!K54</f>
        <v>24.982675295987793</v>
      </c>
      <c r="L8" s="37">
        <f>BDbDT_calcs!L54</f>
        <v>24.934825081153068</v>
      </c>
      <c r="M8" s="37">
        <f>BDbDT_calcs!M54</f>
        <v>24.872264049899471</v>
      </c>
      <c r="N8" s="37">
        <f>BDbDT_calcs!N54</f>
        <v>24.795235367954451</v>
      </c>
      <c r="O8" s="37">
        <f>BDbDT_calcs!O54</f>
        <v>24.70396532702053</v>
      </c>
      <c r="P8" s="37">
        <f>BDbDT_calcs!P54</f>
        <v>24.580219169421369</v>
      </c>
      <c r="Q8" s="37">
        <f>BDbDT_calcs!Q54</f>
        <v>24.44264265415045</v>
      </c>
      <c r="R8" s="37">
        <f>BDbDT_calcs!R54</f>
        <v>24.272999831204</v>
      </c>
      <c r="S8" s="37">
        <f>BDbDT_calcs!S54</f>
        <v>24.080236390656868</v>
      </c>
      <c r="T8" s="37">
        <f>BDbDT_calcs!T54</f>
        <v>23.867982563415005</v>
      </c>
      <c r="U8" s="37">
        <f>BDbDT_calcs!U54</f>
        <v>23.636234966955215</v>
      </c>
      <c r="V8" s="37">
        <f>BDbDT_calcs!V54</f>
        <v>23.40890133588594</v>
      </c>
      <c r="W8" s="37">
        <f>BDbDT_calcs!W54</f>
        <v>23.155682701978286</v>
      </c>
      <c r="X8" s="37">
        <f>BDbDT_calcs!X54</f>
        <v>22.936071336928769</v>
      </c>
      <c r="Y8" s="37">
        <f>BDbDT_calcs!Y54</f>
        <v>22.713852788846989</v>
      </c>
      <c r="Z8" s="37">
        <f>BDbDT_calcs!Z54</f>
        <v>22.494641160915094</v>
      </c>
      <c r="AA8" s="37">
        <f>BDbDT_calcs!AA54</f>
        <v>22.283975991894863</v>
      </c>
      <c r="AB8" s="37">
        <f>BDbDT_calcs!AB54</f>
        <v>22.087336117697166</v>
      </c>
    </row>
    <row r="9" spans="1:28" x14ac:dyDescent="0.25">
      <c r="A9" s="4" t="s">
        <v>222</v>
      </c>
      <c r="B9" s="37">
        <f>BDbDT_calcs!B55</f>
        <v>122.79159681100462</v>
      </c>
      <c r="C9" s="37">
        <f>BDbDT_calcs!C55</f>
        <v>121.52609756099891</v>
      </c>
      <c r="D9" s="37">
        <f>BDbDT_calcs!D55</f>
        <v>119.97112294187728</v>
      </c>
      <c r="E9" s="37">
        <f>BDbDT_calcs!E55</f>
        <v>118.42061066319472</v>
      </c>
      <c r="F9" s="37">
        <f>BDbDT_calcs!F55</f>
        <v>116.82860827345442</v>
      </c>
      <c r="G9" s="37">
        <f>BDbDT_calcs!G55</f>
        <v>115.27904216995456</v>
      </c>
      <c r="H9" s="37">
        <f>BDbDT_calcs!H55</f>
        <v>113.73510624529938</v>
      </c>
      <c r="I9" s="37">
        <f>BDbDT_calcs!I55</f>
        <v>111.90473686216691</v>
      </c>
      <c r="J9" s="37">
        <f>BDbDT_calcs!J55</f>
        <v>110.09087410134764</v>
      </c>
      <c r="K9" s="37">
        <f>BDbDT_calcs!K55</f>
        <v>108.27998061483427</v>
      </c>
      <c r="L9" s="37">
        <f>BDbDT_calcs!L55</f>
        <v>106.49010540459089</v>
      </c>
      <c r="M9" s="37">
        <f>BDbDT_calcs!M55</f>
        <v>104.71167640676822</v>
      </c>
      <c r="N9" s="37">
        <f>BDbDT_calcs!N55</f>
        <v>102.96227675223706</v>
      </c>
      <c r="O9" s="37">
        <f>BDbDT_calcs!O55</f>
        <v>101.20517235985383</v>
      </c>
      <c r="P9" s="37">
        <f>BDbDT_calcs!P55</f>
        <v>99.466846104785304</v>
      </c>
      <c r="Q9" s="37">
        <f>BDbDT_calcs!Q55</f>
        <v>97.746359925953669</v>
      </c>
      <c r="R9" s="37">
        <f>BDbDT_calcs!R55</f>
        <v>96.051597259511311</v>
      </c>
      <c r="S9" s="37">
        <f>BDbDT_calcs!S55</f>
        <v>94.24625253656545</v>
      </c>
      <c r="T9" s="37">
        <f>BDbDT_calcs!T55</f>
        <v>92.485616142674971</v>
      </c>
      <c r="U9" s="37">
        <f>BDbDT_calcs!U55</f>
        <v>90.785483162777453</v>
      </c>
      <c r="V9" s="37">
        <f>BDbDT_calcs!V55</f>
        <v>89.126067425087882</v>
      </c>
      <c r="W9" s="37">
        <f>BDbDT_calcs!W55</f>
        <v>87.549018221693231</v>
      </c>
      <c r="X9" s="37">
        <f>BDbDT_calcs!X55</f>
        <v>86.008310969451983</v>
      </c>
      <c r="Y9" s="37">
        <f>BDbDT_calcs!Y55</f>
        <v>84.528541883872364</v>
      </c>
      <c r="Z9" s="37">
        <f>BDbDT_calcs!Z55</f>
        <v>83.099053971112639</v>
      </c>
      <c r="AA9" s="37">
        <f>BDbDT_calcs!AA55</f>
        <v>81.709392166226451</v>
      </c>
      <c r="AB9" s="37">
        <f>BDbDT_calcs!AB55</f>
        <v>80.366516926606934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13308.618260809864</v>
      </c>
      <c r="C2" s="37">
        <f>BDbDT_calcs!C58</f>
        <v>13543.978628147379</v>
      </c>
      <c r="D2" s="37">
        <f>BDbDT_calcs!D58</f>
        <v>13746.994037826385</v>
      </c>
      <c r="E2" s="37">
        <f>BDbDT_calcs!E58</f>
        <v>13949.676848149646</v>
      </c>
      <c r="F2" s="37">
        <f>BDbDT_calcs!F58</f>
        <v>14153.236477362443</v>
      </c>
      <c r="G2" s="37">
        <f>BDbDT_calcs!G58</f>
        <v>14358.099987875776</v>
      </c>
      <c r="H2" s="37">
        <f>BDbDT_calcs!H58</f>
        <v>14563.295211864575</v>
      </c>
      <c r="I2" s="37">
        <f>BDbDT_calcs!I58</f>
        <v>14728.243514259897</v>
      </c>
      <c r="J2" s="37">
        <f>BDbDT_calcs!J58</f>
        <v>14889.720565016996</v>
      </c>
      <c r="K2" s="37">
        <f>BDbDT_calcs!K58</f>
        <v>15047.516571876209</v>
      </c>
      <c r="L2" s="37">
        <f>BDbDT_calcs!L58</f>
        <v>15200.413380742135</v>
      </c>
      <c r="M2" s="37">
        <f>BDbDT_calcs!M58</f>
        <v>15348.219369512981</v>
      </c>
      <c r="N2" s="37">
        <f>BDbDT_calcs!N58</f>
        <v>15489.433688793943</v>
      </c>
      <c r="O2" s="37">
        <f>BDbDT_calcs!O58</f>
        <v>15623.550655868989</v>
      </c>
      <c r="P2" s="37">
        <f>BDbDT_calcs!P58</f>
        <v>15748.649990695516</v>
      </c>
      <c r="Q2" s="37">
        <f>BDbDT_calcs!Q58</f>
        <v>15864.506132765133</v>
      </c>
      <c r="R2" s="37">
        <f>BDbDT_calcs!R58</f>
        <v>15968.810921330965</v>
      </c>
      <c r="S2" s="37">
        <f>BDbDT_calcs!S58</f>
        <v>16043.353978236795</v>
      </c>
      <c r="T2" s="37">
        <f>BDbDT_calcs!T58</f>
        <v>16105.630292852315</v>
      </c>
      <c r="U2" s="37">
        <f>BDbDT_calcs!U58</f>
        <v>16156.608294909376</v>
      </c>
      <c r="V2" s="37">
        <f>BDbDT_calcs!V58</f>
        <v>16192.50714875917</v>
      </c>
      <c r="W2" s="37">
        <f>BDbDT_calcs!W58</f>
        <v>16214.392919348998</v>
      </c>
      <c r="X2" s="37">
        <f>BDbDT_calcs!X58</f>
        <v>16221.475050270094</v>
      </c>
      <c r="Y2" s="37">
        <f>BDbDT_calcs!Y58</f>
        <v>16220.528835147337</v>
      </c>
      <c r="Z2" s="37">
        <f>BDbDT_calcs!Z58</f>
        <v>16205.686185523424</v>
      </c>
      <c r="AA2" s="37">
        <f>BDbDT_calcs!AA58</f>
        <v>16178.025655786214</v>
      </c>
      <c r="AB2" s="37">
        <f>BDbDT_calcs!AB58</f>
        <v>16139.081825814053</v>
      </c>
    </row>
    <row r="3" spans="1:28" x14ac:dyDescent="0.25">
      <c r="A3" s="4" t="s">
        <v>216</v>
      </c>
      <c r="B3" s="37">
        <f>BDbDT_calcs!B59</f>
        <v>12212.544026205955</v>
      </c>
      <c r="C3" s="37">
        <f>BDbDT_calcs!C59</f>
        <v>12396.329607654572</v>
      </c>
      <c r="D3" s="37">
        <f>BDbDT_calcs!D59</f>
        <v>12551.506011012003</v>
      </c>
      <c r="E3" s="37">
        <f>BDbDT_calcs!E59</f>
        <v>12712.969659696639</v>
      </c>
      <c r="F3" s="37">
        <f>BDbDT_calcs!F59</f>
        <v>12884.288841944937</v>
      </c>
      <c r="G3" s="37">
        <f>BDbDT_calcs!G59</f>
        <v>13066.1090952129</v>
      </c>
      <c r="H3" s="37">
        <f>BDbDT_calcs!H59</f>
        <v>13259.601266938758</v>
      </c>
      <c r="I3" s="37">
        <f>BDbDT_calcs!I59</f>
        <v>13427.252064286389</v>
      </c>
      <c r="J3" s="37">
        <f>BDbDT_calcs!J59</f>
        <v>13603.64453347965</v>
      </c>
      <c r="K3" s="37">
        <f>BDbDT_calcs!K59</f>
        <v>13785.233001382898</v>
      </c>
      <c r="L3" s="37">
        <f>BDbDT_calcs!L59</f>
        <v>13971.692305718327</v>
      </c>
      <c r="M3" s="37">
        <f>BDbDT_calcs!M59</f>
        <v>14162.137519173368</v>
      </c>
      <c r="N3" s="37">
        <f>BDbDT_calcs!N59</f>
        <v>14353.528609615742</v>
      </c>
      <c r="O3" s="37">
        <f>BDbDT_calcs!O59</f>
        <v>14543.010530959629</v>
      </c>
      <c r="P3" s="37">
        <f>BDbDT_calcs!P59</f>
        <v>14729.983616028276</v>
      </c>
      <c r="Q3" s="37">
        <f>BDbDT_calcs!Q59</f>
        <v>14910.440900375072</v>
      </c>
      <c r="R3" s="37">
        <f>BDbDT_calcs!R59</f>
        <v>15083.324277801054</v>
      </c>
      <c r="S3" s="37">
        <f>BDbDT_calcs!S59</f>
        <v>15228.458761263089</v>
      </c>
      <c r="T3" s="37">
        <f>BDbDT_calcs!T59</f>
        <v>15361.996360431482</v>
      </c>
      <c r="U3" s="37">
        <f>BDbDT_calcs!U59</f>
        <v>15482.637469543966</v>
      </c>
      <c r="V3" s="37">
        <f>BDbDT_calcs!V59</f>
        <v>15587.008375037503</v>
      </c>
      <c r="W3" s="37">
        <f>BDbDT_calcs!W59</f>
        <v>15672.122643401237</v>
      </c>
      <c r="X3" s="37">
        <f>BDbDT_calcs!X59</f>
        <v>15738.969862343034</v>
      </c>
      <c r="Y3" s="37">
        <f>BDbDT_calcs!Y59</f>
        <v>15795.003741225584</v>
      </c>
      <c r="Z3" s="37">
        <f>BDbDT_calcs!Z59</f>
        <v>15833.518921521381</v>
      </c>
      <c r="AA3" s="37">
        <f>BDbDT_calcs!AA59</f>
        <v>15852.203962519719</v>
      </c>
      <c r="AB3" s="37">
        <f>BDbDT_calcs!AB59</f>
        <v>15851.46477075642</v>
      </c>
    </row>
    <row r="4" spans="1:28" x14ac:dyDescent="0.25">
      <c r="A4" s="4" t="s">
        <v>217</v>
      </c>
      <c r="B4" s="37">
        <f>BDbDT_calcs!B60</f>
        <v>23481.460772937819</v>
      </c>
      <c r="C4" s="37">
        <f>BDbDT_calcs!C60</f>
        <v>23861.917494392757</v>
      </c>
      <c r="D4" s="37">
        <f>BDbDT_calcs!D60</f>
        <v>24184.369752119863</v>
      </c>
      <c r="E4" s="37">
        <f>BDbDT_calcs!E60</f>
        <v>24510.117337086773</v>
      </c>
      <c r="F4" s="37">
        <f>BDbDT_calcs!F60</f>
        <v>24844.188036525182</v>
      </c>
      <c r="G4" s="37">
        <f>BDbDT_calcs!G60</f>
        <v>25186.683430177793</v>
      </c>
      <c r="H4" s="37">
        <f>BDbDT_calcs!H60</f>
        <v>25538.52898628933</v>
      </c>
      <c r="I4" s="37">
        <f>BDbDT_calcs!I60</f>
        <v>25827.565584634587</v>
      </c>
      <c r="J4" s="37">
        <f>BDbDT_calcs!J60</f>
        <v>26119.711911026072</v>
      </c>
      <c r="K4" s="37">
        <f>BDbDT_calcs!K60</f>
        <v>26410.364213074128</v>
      </c>
      <c r="L4" s="37">
        <f>BDbDT_calcs!L60</f>
        <v>26698.178243069935</v>
      </c>
      <c r="M4" s="37">
        <f>BDbDT_calcs!M60</f>
        <v>26982.186246048484</v>
      </c>
      <c r="N4" s="37">
        <f>BDbDT_calcs!N60</f>
        <v>27257.584703301349</v>
      </c>
      <c r="O4" s="37">
        <f>BDbDT_calcs!O60</f>
        <v>27521.79410904695</v>
      </c>
      <c r="P4" s="37">
        <f>BDbDT_calcs!P60</f>
        <v>27771.418291820155</v>
      </c>
      <c r="Q4" s="37">
        <f>BDbDT_calcs!Q60</f>
        <v>28002.897383177849</v>
      </c>
      <c r="R4" s="37">
        <f>BDbDT_calcs!R60</f>
        <v>28212.849376470618</v>
      </c>
      <c r="S4" s="37">
        <f>BDbDT_calcs!S60</f>
        <v>28366.418716514821</v>
      </c>
      <c r="T4" s="37">
        <f>BDbDT_calcs!T60</f>
        <v>28494.392182015628</v>
      </c>
      <c r="U4" s="37">
        <f>BDbDT_calcs!U60</f>
        <v>28596.938738152596</v>
      </c>
      <c r="V4" s="37">
        <f>BDbDT_calcs!V60</f>
        <v>28666.659841411278</v>
      </c>
      <c r="W4" s="37">
        <f>BDbDT_calcs!W60</f>
        <v>28701.654421191353</v>
      </c>
      <c r="X4" s="37">
        <f>BDbDT_calcs!X60</f>
        <v>28702.78506614158</v>
      </c>
      <c r="Y4" s="37">
        <f>BDbDT_calcs!Y60</f>
        <v>28684.900632165085</v>
      </c>
      <c r="Z4" s="37">
        <f>BDbDT_calcs!Z60</f>
        <v>28635.299703728706</v>
      </c>
      <c r="AA4" s="37">
        <f>BDbDT_calcs!AA60</f>
        <v>28552.422705071203</v>
      </c>
      <c r="AB4" s="37">
        <f>BDbDT_calcs!AB60</f>
        <v>28438.913464448295</v>
      </c>
    </row>
    <row r="5" spans="1:28" x14ac:dyDescent="0.25">
      <c r="A5" s="4" t="s">
        <v>218</v>
      </c>
      <c r="B5" s="37">
        <f>BDbDT_calcs!B61</f>
        <v>1456.871403544151</v>
      </c>
      <c r="C5" s="37">
        <f>BDbDT_calcs!C61</f>
        <v>1478.0794029205977</v>
      </c>
      <c r="D5" s="37">
        <f>BDbDT_calcs!D61</f>
        <v>1495.942057048303</v>
      </c>
      <c r="E5" s="37">
        <f>BDbDT_calcs!E61</f>
        <v>1513.9570087155887</v>
      </c>
      <c r="F5" s="37">
        <f>BDbDT_calcs!F61</f>
        <v>1532.6214177969125</v>
      </c>
      <c r="G5" s="37">
        <f>BDbDT_calcs!G61</f>
        <v>1551.9783811287252</v>
      </c>
      <c r="H5" s="37">
        <f>BDbDT_calcs!H61</f>
        <v>1571.9925641535046</v>
      </c>
      <c r="I5" s="37">
        <f>BDbDT_calcs!I61</f>
        <v>1588.449683619996</v>
      </c>
      <c r="J5" s="37">
        <f>BDbDT_calcs!J61</f>
        <v>1605.4456359435619</v>
      </c>
      <c r="K5" s="37">
        <f>BDbDT_calcs!K61</f>
        <v>1622.8773466665957</v>
      </c>
      <c r="L5" s="37">
        <f>BDbDT_calcs!L61</f>
        <v>1640.7471536739802</v>
      </c>
      <c r="M5" s="37">
        <f>BDbDT_calcs!M61</f>
        <v>1658.9713628987229</v>
      </c>
      <c r="N5" s="37">
        <f>BDbDT_calcs!N61</f>
        <v>1677.6295418666923</v>
      </c>
      <c r="O5" s="37">
        <f>BDbDT_calcs!O61</f>
        <v>1696.2984839539668</v>
      </c>
      <c r="P5" s="37">
        <f>BDbDT_calcs!P61</f>
        <v>1715.1676322058779</v>
      </c>
      <c r="Q5" s="37">
        <f>BDbDT_calcs!Q61</f>
        <v>1733.8909822716914</v>
      </c>
      <c r="R5" s="37">
        <f>BDbDT_calcs!R61</f>
        <v>1752.4308980509963</v>
      </c>
      <c r="S5" s="37">
        <f>BDbDT_calcs!S61</f>
        <v>1768.7622457133602</v>
      </c>
      <c r="T5" s="37">
        <f>BDbDT_calcs!T61</f>
        <v>1784.5357939223034</v>
      </c>
      <c r="U5" s="37">
        <f>BDbDT_calcs!U61</f>
        <v>1799.7826621822603</v>
      </c>
      <c r="V5" s="37">
        <f>BDbDT_calcs!V61</f>
        <v>1814.2966027887385</v>
      </c>
      <c r="W5" s="37">
        <f>BDbDT_calcs!W61</f>
        <v>1827.7461812104136</v>
      </c>
      <c r="X5" s="37">
        <f>BDbDT_calcs!X61</f>
        <v>1840.0153050723452</v>
      </c>
      <c r="Y5" s="37">
        <f>BDbDT_calcs!Y61</f>
        <v>1851.5743140688373</v>
      </c>
      <c r="Z5" s="37">
        <f>BDbDT_calcs!Z61</f>
        <v>1861.9167001832366</v>
      </c>
      <c r="AA5" s="37">
        <f>BDbDT_calcs!AA61</f>
        <v>1871.0330004599878</v>
      </c>
      <c r="AB5" s="37">
        <f>BDbDT_calcs!AB61</f>
        <v>1878.7360555196497</v>
      </c>
    </row>
    <row r="6" spans="1:28" x14ac:dyDescent="0.25">
      <c r="A6" s="4" t="s">
        <v>219</v>
      </c>
      <c r="B6" s="37">
        <f>BDbDT_calcs!B62</f>
        <v>568.5570768886522</v>
      </c>
      <c r="C6" s="37">
        <f>BDbDT_calcs!C62</f>
        <v>581.64057231901427</v>
      </c>
      <c r="D6" s="37">
        <f>BDbDT_calcs!D62</f>
        <v>593.81595424857983</v>
      </c>
      <c r="E6" s="37">
        <f>BDbDT_calcs!E62</f>
        <v>606.86863079791101</v>
      </c>
      <c r="F6" s="37">
        <f>BDbDT_calcs!F62</f>
        <v>620.97449649036014</v>
      </c>
      <c r="G6" s="37">
        <f>BDbDT_calcs!G62</f>
        <v>636.12117275368064</v>
      </c>
      <c r="H6" s="37">
        <f>BDbDT_calcs!H62</f>
        <v>652.35178719645376</v>
      </c>
      <c r="I6" s="37">
        <f>BDbDT_calcs!I62</f>
        <v>667.87276019859871</v>
      </c>
      <c r="J6" s="37">
        <f>BDbDT_calcs!J62</f>
        <v>684.05079162424681</v>
      </c>
      <c r="K6" s="37">
        <f>BDbDT_calcs!K62</f>
        <v>700.745550708255</v>
      </c>
      <c r="L6" s="37">
        <f>BDbDT_calcs!L62</f>
        <v>718.13286767648287</v>
      </c>
      <c r="M6" s="37">
        <f>BDbDT_calcs!M62</f>
        <v>736.07045708625628</v>
      </c>
      <c r="N6" s="37">
        <f>BDbDT_calcs!N62</f>
        <v>754.46333674737264</v>
      </c>
      <c r="O6" s="37">
        <f>BDbDT_calcs!O62</f>
        <v>773.17841259594127</v>
      </c>
      <c r="P6" s="37">
        <f>BDbDT_calcs!P62</f>
        <v>792.14655069994694</v>
      </c>
      <c r="Q6" s="37">
        <f>BDbDT_calcs!Q62</f>
        <v>811.21832538337776</v>
      </c>
      <c r="R6" s="37">
        <f>BDbDT_calcs!R62</f>
        <v>830.32073302219555</v>
      </c>
      <c r="S6" s="37">
        <f>BDbDT_calcs!S62</f>
        <v>848.33828915773074</v>
      </c>
      <c r="T6" s="37">
        <f>BDbDT_calcs!T62</f>
        <v>866.21649372794423</v>
      </c>
      <c r="U6" s="37">
        <f>BDbDT_calcs!U62</f>
        <v>883.76989548877202</v>
      </c>
      <c r="V6" s="37">
        <f>BDbDT_calcs!V62</f>
        <v>901.03003945268983</v>
      </c>
      <c r="W6" s="37">
        <f>BDbDT_calcs!W62</f>
        <v>917.93845466907794</v>
      </c>
      <c r="X6" s="37">
        <f>BDbDT_calcs!X62</f>
        <v>934.57436987879623</v>
      </c>
      <c r="Y6" s="37">
        <f>BDbDT_calcs!Y62</f>
        <v>950.87708753264701</v>
      </c>
      <c r="Z6" s="37">
        <f>BDbDT_calcs!Z62</f>
        <v>966.87631025073404</v>
      </c>
      <c r="AA6" s="37">
        <f>BDbDT_calcs!AA62</f>
        <v>982.56143622220873</v>
      </c>
      <c r="AB6" s="37">
        <f>BDbDT_calcs!AB62</f>
        <v>997.86132535771947</v>
      </c>
    </row>
    <row r="7" spans="1:28" x14ac:dyDescent="0.25">
      <c r="A7" s="4" t="s">
        <v>220</v>
      </c>
      <c r="B7" s="37">
        <f>BDbDT_calcs!B63</f>
        <v>612.94112415355335</v>
      </c>
      <c r="C7" s="37">
        <f>BDbDT_calcs!C63</f>
        <v>626.16802643454116</v>
      </c>
      <c r="D7" s="37">
        <f>BDbDT_calcs!D63</f>
        <v>638.51388232520264</v>
      </c>
      <c r="E7" s="37">
        <f>BDbDT_calcs!E63</f>
        <v>652.04870895730983</v>
      </c>
      <c r="F7" s="37">
        <f>BDbDT_calcs!F63</f>
        <v>665.69463834179192</v>
      </c>
      <c r="G7" s="37">
        <f>BDbDT_calcs!G63</f>
        <v>680.40245828226534</v>
      </c>
      <c r="H7" s="37">
        <f>BDbDT_calcs!H63</f>
        <v>695.55466300724231</v>
      </c>
      <c r="I7" s="37">
        <f>BDbDT_calcs!I63</f>
        <v>709.10611794733109</v>
      </c>
      <c r="J7" s="37">
        <f>BDbDT_calcs!J63</f>
        <v>722.92766237329954</v>
      </c>
      <c r="K7" s="37">
        <f>BDbDT_calcs!K63</f>
        <v>737.79407910158102</v>
      </c>
      <c r="L7" s="37">
        <f>BDbDT_calcs!L63</f>
        <v>752.99110199475899</v>
      </c>
      <c r="M7" s="37">
        <f>BDbDT_calcs!M63</f>
        <v>768.74569682560195</v>
      </c>
      <c r="N7" s="37">
        <f>BDbDT_calcs!N63</f>
        <v>784.71702146095106</v>
      </c>
      <c r="O7" s="37">
        <f>BDbDT_calcs!O63</f>
        <v>800.96519307135713</v>
      </c>
      <c r="P7" s="37">
        <f>BDbDT_calcs!P63</f>
        <v>817.69763728392604</v>
      </c>
      <c r="Q7" s="37">
        <f>BDbDT_calcs!Q63</f>
        <v>834.8036604016844</v>
      </c>
      <c r="R7" s="37">
        <f>BDbDT_calcs!R63</f>
        <v>852.12119928273523</v>
      </c>
      <c r="S7" s="37">
        <f>BDbDT_calcs!S63</f>
        <v>868.39483787123197</v>
      </c>
      <c r="T7" s="37">
        <f>BDbDT_calcs!T63</f>
        <v>884.81954911989669</v>
      </c>
      <c r="U7" s="37">
        <f>BDbDT_calcs!U63</f>
        <v>901.16197091453046</v>
      </c>
      <c r="V7" s="37">
        <f>BDbDT_calcs!V63</f>
        <v>917.16299279464249</v>
      </c>
      <c r="W7" s="37">
        <f>BDbDT_calcs!W63</f>
        <v>933.38322193125555</v>
      </c>
      <c r="X7" s="37">
        <f>BDbDT_calcs!X63</f>
        <v>949.37126511935139</v>
      </c>
      <c r="Y7" s="37">
        <f>BDbDT_calcs!Y63</f>
        <v>965.39699020181752</v>
      </c>
      <c r="Z7" s="37">
        <f>BDbDT_calcs!Z63</f>
        <v>981.08884205419963</v>
      </c>
      <c r="AA7" s="37">
        <f>BDbDT_calcs!AA63</f>
        <v>996.59192546808765</v>
      </c>
      <c r="AB7" s="37">
        <f>BDbDT_calcs!AB63</f>
        <v>1012.0569301769357</v>
      </c>
    </row>
    <row r="8" spans="1:28" x14ac:dyDescent="0.25">
      <c r="A8" s="4" t="s">
        <v>221</v>
      </c>
      <c r="B8" s="37">
        <f>BDbDT_calcs!B64</f>
        <v>1606.1256644754114</v>
      </c>
      <c r="C8" s="37">
        <f>BDbDT_calcs!C64</f>
        <v>1661.8970829445741</v>
      </c>
      <c r="D8" s="37">
        <f>BDbDT_calcs!D64</f>
        <v>1714.9402461045242</v>
      </c>
      <c r="E8" s="37">
        <f>BDbDT_calcs!E64</f>
        <v>1769.2520122600099</v>
      </c>
      <c r="F8" s="37">
        <f>BDbDT_calcs!F64</f>
        <v>1824.8557737530077</v>
      </c>
      <c r="G8" s="37">
        <f>BDbDT_calcs!G64</f>
        <v>1881.9781143426658</v>
      </c>
      <c r="H8" s="37">
        <f>BDbDT_calcs!H64</f>
        <v>1941.2369445239208</v>
      </c>
      <c r="I8" s="37">
        <f>BDbDT_calcs!I64</f>
        <v>1997.2677995560855</v>
      </c>
      <c r="J8" s="37">
        <f>BDbDT_calcs!J64</f>
        <v>2054.6289702803228</v>
      </c>
      <c r="K8" s="37">
        <f>BDbDT_calcs!K64</f>
        <v>2113.7858460803618</v>
      </c>
      <c r="L8" s="37">
        <f>BDbDT_calcs!L64</f>
        <v>2175.0868481210327</v>
      </c>
      <c r="M8" s="37">
        <f>BDbDT_calcs!M64</f>
        <v>2237.9886951505978</v>
      </c>
      <c r="N8" s="37">
        <f>BDbDT_calcs!N64</f>
        <v>2303.0638026697261</v>
      </c>
      <c r="O8" s="37">
        <f>BDbDT_calcs!O64</f>
        <v>2369.9177268319427</v>
      </c>
      <c r="P8" s="37">
        <f>BDbDT_calcs!P64</f>
        <v>2438.4375275864259</v>
      </c>
      <c r="Q8" s="37">
        <f>BDbDT_calcs!Q64</f>
        <v>2508.7228660880774</v>
      </c>
      <c r="R8" s="37">
        <f>BDbDT_calcs!R64</f>
        <v>2580.2607333754654</v>
      </c>
      <c r="S8" s="37">
        <f>BDbDT_calcs!S64</f>
        <v>2649.9917632816368</v>
      </c>
      <c r="T8" s="37">
        <f>BDbDT_calcs!T64</f>
        <v>2720.7323159100092</v>
      </c>
      <c r="U8" s="37">
        <f>BDbDT_calcs!U64</f>
        <v>2792.2922779540163</v>
      </c>
      <c r="V8" s="37">
        <f>BDbDT_calcs!V64</f>
        <v>2864.2930049600318</v>
      </c>
      <c r="W8" s="37">
        <f>BDbDT_calcs!W64</f>
        <v>2936.3354737257664</v>
      </c>
      <c r="X8" s="37">
        <f>BDbDT_calcs!X64</f>
        <v>3008.7717102416959</v>
      </c>
      <c r="Y8" s="37">
        <f>BDbDT_calcs!Y64</f>
        <v>3080.9922434360396</v>
      </c>
      <c r="Z8" s="37">
        <f>BDbDT_calcs!Z64</f>
        <v>3152.9535093368277</v>
      </c>
      <c r="AA8" s="37">
        <f>BDbDT_calcs!AA64</f>
        <v>3223.9470521494272</v>
      </c>
      <c r="AB8" s="37">
        <f>BDbDT_calcs!AB64</f>
        <v>3293.8871388443695</v>
      </c>
    </row>
    <row r="9" spans="1:28" x14ac:dyDescent="0.25">
      <c r="A9" s="4" t="s">
        <v>222</v>
      </c>
      <c r="B9" s="37">
        <f>BDbDT_calcs!B65</f>
        <v>24837.882974766042</v>
      </c>
      <c r="C9" s="37">
        <f>BDbDT_calcs!C65</f>
        <v>25202.396769606894</v>
      </c>
      <c r="D9" s="37">
        <f>BDbDT_calcs!D65</f>
        <v>25505.982440494081</v>
      </c>
      <c r="E9" s="37">
        <f>BDbDT_calcs!E65</f>
        <v>25814.143067695037</v>
      </c>
      <c r="F9" s="37">
        <f>BDbDT_calcs!F65</f>
        <v>26131.966377473775</v>
      </c>
      <c r="G9" s="37">
        <f>BDbDT_calcs!G65</f>
        <v>26460.266951296264</v>
      </c>
      <c r="H9" s="37">
        <f>BDbDT_calcs!H65</f>
        <v>26798.379987962067</v>
      </c>
      <c r="I9" s="37">
        <f>BDbDT_calcs!I65</f>
        <v>27070.958617494609</v>
      </c>
      <c r="J9" s="37">
        <f>BDbDT_calcs!J65</f>
        <v>27347.363428542092</v>
      </c>
      <c r="K9" s="37">
        <f>BDbDT_calcs!K65</f>
        <v>27622.869038166125</v>
      </c>
      <c r="L9" s="37">
        <f>BDbDT_calcs!L65</f>
        <v>27895.332319629888</v>
      </c>
      <c r="M9" s="37">
        <f>BDbDT_calcs!M65</f>
        <v>28164.391627430647</v>
      </c>
      <c r="N9" s="37">
        <f>BDbDT_calcs!N65</f>
        <v>28424.3506790789</v>
      </c>
      <c r="O9" s="37">
        <f>BDbDT_calcs!O65</f>
        <v>28672.174730609273</v>
      </c>
      <c r="P9" s="37">
        <f>BDbDT_calcs!P65</f>
        <v>28905.359875501632</v>
      </c>
      <c r="Q9" s="37">
        <f>BDbDT_calcs!Q65</f>
        <v>29119.201498373131</v>
      </c>
      <c r="R9" s="37">
        <f>BDbDT_calcs!R65</f>
        <v>29310.877863384765</v>
      </c>
      <c r="S9" s="37">
        <f>BDbDT_calcs!S65</f>
        <v>29443.926914445776</v>
      </c>
      <c r="T9" s="37">
        <f>BDbDT_calcs!T65</f>
        <v>29550.074084499822</v>
      </c>
      <c r="U9" s="37">
        <f>BDbDT_calcs!U65</f>
        <v>29629.215752200857</v>
      </c>
      <c r="V9" s="37">
        <f>BDbDT_calcs!V65</f>
        <v>29674.285449987074</v>
      </c>
      <c r="W9" s="37">
        <f>BDbDT_calcs!W65</f>
        <v>29683.768737894436</v>
      </c>
      <c r="X9" s="37">
        <f>BDbDT_calcs!X65</f>
        <v>29657.385439992464</v>
      </c>
      <c r="Y9" s="37">
        <f>BDbDT_calcs!Y65</f>
        <v>29611.20080027022</v>
      </c>
      <c r="Z9" s="37">
        <f>BDbDT_calcs!Z65</f>
        <v>29531.867089123389</v>
      </c>
      <c r="AA9" s="37">
        <f>BDbDT_calcs!AA65</f>
        <v>29419.063492290596</v>
      </c>
      <c r="AB9" s="37">
        <f>BDbDT_calcs!AB65</f>
        <v>29274.969297589945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2026-08-17T20:28:49Z</dcterms:modified>
</cp:coreProperties>
</file>