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KS\add-outputs\HOIpTP\"/>
    </mc:Choice>
  </mc:AlternateContent>
  <xr:revisionPtr revIDLastSave="0" documentId="8_{5C5BA91A-B3CC-4481-80BF-D56C177F059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Q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Q3" i="19"/>
  <c r="F3" i="19"/>
  <c r="B3" i="19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R17" i="18"/>
  <c r="N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B15" i="18"/>
  <c r="D15" i="18" s="1"/>
  <c r="AA14" i="18"/>
  <c r="U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V8" i="18"/>
  <c r="R8" i="18"/>
  <c r="M8" i="18"/>
  <c r="F8" i="18"/>
  <c r="B8" i="18"/>
  <c r="AA8" i="18" s="1"/>
  <c r="AB7" i="18"/>
  <c r="H7" i="18"/>
  <c r="D7" i="18"/>
  <c r="C7" i="18"/>
  <c r="B7" i="18"/>
  <c r="AA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V2" i="18"/>
  <c r="O2" i="18"/>
  <c r="K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T8" i="17"/>
  <c r="O8" i="17"/>
  <c r="F8" i="17"/>
  <c r="C8" i="17"/>
  <c r="B8" i="17"/>
  <c r="AB8" i="17" s="1"/>
  <c r="G7" i="17"/>
  <c r="B7" i="17"/>
  <c r="M6" i="17"/>
  <c r="L6" i="17"/>
  <c r="G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H17" i="16"/>
  <c r="B17" i="16"/>
  <c r="B16" i="16"/>
  <c r="AA15" i="16"/>
  <c r="X15" i="16"/>
  <c r="K15" i="16"/>
  <c r="B15" i="16"/>
  <c r="Y15" i="16" s="1"/>
  <c r="B14" i="16"/>
  <c r="X13" i="16"/>
  <c r="W13" i="16"/>
  <c r="B13" i="16"/>
  <c r="J13" i="16" s="1"/>
  <c r="Y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T7" i="16"/>
  <c r="S7" i="16"/>
  <c r="R7" i="16"/>
  <c r="O7" i="16"/>
  <c r="M7" i="16"/>
  <c r="H7" i="16"/>
  <c r="F7" i="16"/>
  <c r="E7" i="16"/>
  <c r="D7" i="16"/>
  <c r="C7" i="16"/>
  <c r="B7" i="16"/>
  <c r="Z7" i="16" s="1"/>
  <c r="W6" i="16"/>
  <c r="V6" i="16"/>
  <c r="T6" i="16"/>
  <c r="S6" i="16"/>
  <c r="N6" i="16"/>
  <c r="M6" i="16"/>
  <c r="L6" i="16"/>
  <c r="J6" i="16"/>
  <c r="I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I15" i="15"/>
  <c r="G15" i="15"/>
  <c r="E15" i="15"/>
  <c r="C15" i="15"/>
  <c r="B15" i="15"/>
  <c r="K15" i="15" s="1"/>
  <c r="B14" i="15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O12" i="15"/>
  <c r="N12" i="15"/>
  <c r="M12" i="15"/>
  <c r="L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B8" i="15"/>
  <c r="AB7" i="15"/>
  <c r="B7" i="15"/>
  <c r="AA7" i="15" s="1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W3" i="15"/>
  <c r="T3" i="15"/>
  <c r="Q3" i="15"/>
  <c r="N3" i="15"/>
  <c r="M3" i="15"/>
  <c r="K3" i="15"/>
  <c r="J3" i="15"/>
  <c r="I3" i="15"/>
  <c r="D3" i="15"/>
  <c r="B3" i="15"/>
  <c r="B2" i="15"/>
  <c r="S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B17" i="14"/>
  <c r="C17" i="14" s="1"/>
  <c r="H16" i="14"/>
  <c r="B16" i="14"/>
  <c r="AA15" i="14"/>
  <c r="B15" i="14"/>
  <c r="S15" i="14" s="1"/>
  <c r="AB14" i="14"/>
  <c r="R14" i="14"/>
  <c r="B14" i="14"/>
  <c r="X13" i="14"/>
  <c r="N13" i="14"/>
  <c r="K13" i="14"/>
  <c r="G13" i="14"/>
  <c r="B13" i="14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S7" i="14"/>
  <c r="R7" i="14"/>
  <c r="P7" i="14"/>
  <c r="N7" i="14"/>
  <c r="M7" i="14"/>
  <c r="K7" i="14"/>
  <c r="I7" i="14"/>
  <c r="G7" i="14"/>
  <c r="E7" i="14"/>
  <c r="D7" i="14"/>
  <c r="C7" i="14"/>
  <c r="B7" i="14"/>
  <c r="Z7" i="14" s="1"/>
  <c r="X6" i="14"/>
  <c r="N6" i="14"/>
  <c r="M6" i="14"/>
  <c r="K6" i="14"/>
  <c r="H6" i="14"/>
  <c r="F6" i="14"/>
  <c r="E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Y3" i="14"/>
  <c r="W3" i="14"/>
  <c r="U3" i="14"/>
  <c r="T3" i="14"/>
  <c r="S3" i="14"/>
  <c r="P3" i="14"/>
  <c r="M3" i="14"/>
  <c r="L3" i="14"/>
  <c r="K3" i="14"/>
  <c r="J3" i="14"/>
  <c r="F3" i="14"/>
  <c r="B3" i="14"/>
  <c r="AB2" i="14"/>
  <c r="Z2" i="14"/>
  <c r="X2" i="14"/>
  <c r="U2" i="14"/>
  <c r="R2" i="14"/>
  <c r="P2" i="14"/>
  <c r="O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AA15" i="13"/>
  <c r="Z15" i="13"/>
  <c r="Y15" i="13"/>
  <c r="V15" i="13"/>
  <c r="T15" i="13"/>
  <c r="R15" i="13"/>
  <c r="P15" i="13"/>
  <c r="K15" i="13"/>
  <c r="G15" i="13"/>
  <c r="F15" i="13"/>
  <c r="B15" i="13"/>
  <c r="AA14" i="13"/>
  <c r="W14" i="13"/>
  <c r="V14" i="13"/>
  <c r="S14" i="13"/>
  <c r="Q14" i="13"/>
  <c r="O14" i="13"/>
  <c r="N14" i="13"/>
  <c r="M14" i="13"/>
  <c r="L14" i="13"/>
  <c r="K14" i="13"/>
  <c r="E14" i="13"/>
  <c r="B14" i="13"/>
  <c r="M13" i="13"/>
  <c r="K13" i="13"/>
  <c r="H13" i="13"/>
  <c r="G13" i="13"/>
  <c r="F13" i="13"/>
  <c r="B13" i="13"/>
  <c r="X12" i="13"/>
  <c r="W12" i="13"/>
  <c r="V12" i="13"/>
  <c r="U12" i="13"/>
  <c r="L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N7" i="13"/>
  <c r="M7" i="13"/>
  <c r="L7" i="13"/>
  <c r="I7" i="13"/>
  <c r="E7" i="13"/>
  <c r="C7" i="13"/>
  <c r="B7" i="13"/>
  <c r="J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V3" i="13"/>
  <c r="N3" i="13"/>
  <c r="L3" i="13"/>
  <c r="B3" i="13"/>
  <c r="AB3" i="13" s="1"/>
  <c r="AB2" i="13"/>
  <c r="Y2" i="13"/>
  <c r="V2" i="13"/>
  <c r="R2" i="13"/>
  <c r="Q2" i="13"/>
  <c r="O2" i="13"/>
  <c r="M2" i="13"/>
  <c r="J2" i="13"/>
  <c r="I2" i="13"/>
  <c r="H2" i="13"/>
  <c r="G2" i="13"/>
  <c r="F2" i="13"/>
  <c r="E2" i="13"/>
  <c r="B2" i="13"/>
  <c r="X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O17" i="12"/>
  <c r="B17" i="12"/>
  <c r="G17" i="12" s="1"/>
  <c r="AB16" i="12"/>
  <c r="AA16" i="12"/>
  <c r="Z16" i="12"/>
  <c r="J16" i="12"/>
  <c r="C16" i="12"/>
  <c r="B16" i="12"/>
  <c r="W15" i="12"/>
  <c r="V15" i="12"/>
  <c r="T15" i="12"/>
  <c r="S15" i="12"/>
  <c r="P15" i="12"/>
  <c r="O15" i="12"/>
  <c r="N15" i="12"/>
  <c r="B15" i="12"/>
  <c r="Z15" i="12" s="1"/>
  <c r="B14" i="12"/>
  <c r="AB14" i="12" s="1"/>
  <c r="B13" i="12"/>
  <c r="Z12" i="12"/>
  <c r="H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X8" i="12"/>
  <c r="V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Z8" i="12" s="1"/>
  <c r="AB7" i="12"/>
  <c r="AA7" i="12"/>
  <c r="Z7" i="12"/>
  <c r="X7" i="12"/>
  <c r="W7" i="12"/>
  <c r="S7" i="12"/>
  <c r="K7" i="12"/>
  <c r="I7" i="12"/>
  <c r="D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T3" i="12"/>
  <c r="P3" i="12"/>
  <c r="N3" i="12"/>
  <c r="L3" i="12"/>
  <c r="K3" i="12"/>
  <c r="I3" i="12"/>
  <c r="F3" i="12"/>
  <c r="B3" i="12"/>
  <c r="U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B15" i="11"/>
  <c r="R15" i="11" s="1"/>
  <c r="AB14" i="11"/>
  <c r="G14" i="11"/>
  <c r="F14" i="11"/>
  <c r="E14" i="11"/>
  <c r="C14" i="11"/>
  <c r="B14" i="11"/>
  <c r="AB13" i="11"/>
  <c r="AA13" i="11"/>
  <c r="Z13" i="11"/>
  <c r="Y13" i="11"/>
  <c r="X13" i="11"/>
  <c r="V13" i="11"/>
  <c r="U13" i="11"/>
  <c r="R13" i="11"/>
  <c r="M13" i="11"/>
  <c r="L13" i="11"/>
  <c r="K13" i="11"/>
  <c r="J13" i="11"/>
  <c r="B13" i="11"/>
  <c r="Q13" i="11" s="1"/>
  <c r="AB12" i="11"/>
  <c r="Y12" i="11"/>
  <c r="X12" i="11"/>
  <c r="U12" i="11"/>
  <c r="T12" i="11"/>
  <c r="P12" i="11"/>
  <c r="O12" i="11"/>
  <c r="M12" i="11"/>
  <c r="L12" i="11"/>
  <c r="K12" i="11"/>
  <c r="J12" i="11"/>
  <c r="G12" i="11"/>
  <c r="B12" i="11"/>
  <c r="Z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O8" i="11" s="1"/>
  <c r="X7" i="11"/>
  <c r="V7" i="11"/>
  <c r="B7" i="11"/>
  <c r="I7" i="11" s="1"/>
  <c r="X6" i="11"/>
  <c r="T6" i="11"/>
  <c r="R6" i="11"/>
  <c r="P6" i="11"/>
  <c r="L6" i="11"/>
  <c r="K6" i="11"/>
  <c r="J6" i="11"/>
  <c r="G6" i="11"/>
  <c r="E6" i="11"/>
  <c r="C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R3" i="11"/>
  <c r="P3" i="11"/>
  <c r="L3" i="11"/>
  <c r="K3" i="11"/>
  <c r="J3" i="11"/>
  <c r="I3" i="11"/>
  <c r="H3" i="11"/>
  <c r="E3" i="11"/>
  <c r="B3" i="11"/>
  <c r="N2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W15" i="10"/>
  <c r="V15" i="10"/>
  <c r="U15" i="10"/>
  <c r="B15" i="10"/>
  <c r="E15" i="10" s="1"/>
  <c r="AB14" i="10"/>
  <c r="AA14" i="10"/>
  <c r="Z14" i="10"/>
  <c r="Y14" i="10"/>
  <c r="W14" i="10"/>
  <c r="U14" i="10"/>
  <c r="T14" i="10"/>
  <c r="S14" i="10"/>
  <c r="B14" i="10"/>
  <c r="V14" i="10" s="1"/>
  <c r="B13" i="10"/>
  <c r="F13" i="10" s="1"/>
  <c r="AA12" i="10"/>
  <c r="B12" i="10"/>
  <c r="C11" i="10"/>
  <c r="B11" i="10"/>
  <c r="B10" i="10"/>
  <c r="B9" i="10"/>
  <c r="B8" i="10"/>
  <c r="Q8" i="10" s="1"/>
  <c r="B7" i="10"/>
  <c r="X7" i="10" s="1"/>
  <c r="AA6" i="10"/>
  <c r="R6" i="10"/>
  <c r="O6" i="10"/>
  <c r="L6" i="10"/>
  <c r="H6" i="10"/>
  <c r="E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Z2" i="10"/>
  <c r="X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P17" i="9"/>
  <c r="M17" i="9"/>
  <c r="K17" i="9"/>
  <c r="J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Y15" i="9" s="1"/>
  <c r="B14" i="9"/>
  <c r="F14" i="9" s="1"/>
  <c r="AA13" i="9"/>
  <c r="Z13" i="9"/>
  <c r="Y13" i="9"/>
  <c r="X13" i="9"/>
  <c r="W13" i="9"/>
  <c r="S13" i="9"/>
  <c r="Q13" i="9"/>
  <c r="M13" i="9"/>
  <c r="D13" i="9"/>
  <c r="C13" i="9"/>
  <c r="B13" i="9"/>
  <c r="AB12" i="9"/>
  <c r="AA12" i="9"/>
  <c r="Z12" i="9"/>
  <c r="Y12" i="9"/>
  <c r="W12" i="9"/>
  <c r="U12" i="9"/>
  <c r="S12" i="9"/>
  <c r="O12" i="9"/>
  <c r="J12" i="9"/>
  <c r="H12" i="9"/>
  <c r="E12" i="9"/>
  <c r="D12" i="9"/>
  <c r="B12" i="9"/>
  <c r="X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S8" i="9"/>
  <c r="R8" i="9"/>
  <c r="Q8" i="9"/>
  <c r="P8" i="9"/>
  <c r="O8" i="9"/>
  <c r="N8" i="9"/>
  <c r="M8" i="9"/>
  <c r="L8" i="9"/>
  <c r="K8" i="9"/>
  <c r="I8" i="9"/>
  <c r="F8" i="9"/>
  <c r="E8" i="9"/>
  <c r="C8" i="9"/>
  <c r="B8" i="9"/>
  <c r="W8" i="9" s="1"/>
  <c r="AB7" i="9"/>
  <c r="AA7" i="9"/>
  <c r="T7" i="9"/>
  <c r="S7" i="9"/>
  <c r="R7" i="9"/>
  <c r="Q7" i="9"/>
  <c r="P7" i="9"/>
  <c r="N7" i="9"/>
  <c r="M7" i="9"/>
  <c r="L7" i="9"/>
  <c r="J7" i="9"/>
  <c r="I7" i="9"/>
  <c r="B7" i="9"/>
  <c r="D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B3" i="9"/>
  <c r="K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G15" i="8"/>
  <c r="F15" i="8"/>
  <c r="E15" i="8"/>
  <c r="B15" i="8"/>
  <c r="AA14" i="8"/>
  <c r="Y14" i="8"/>
  <c r="W14" i="8"/>
  <c r="H14" i="8"/>
  <c r="G14" i="8"/>
  <c r="F14" i="8"/>
  <c r="E14" i="8"/>
  <c r="D14" i="8"/>
  <c r="B14" i="8"/>
  <c r="AB13" i="8"/>
  <c r="AA13" i="8"/>
  <c r="X13" i="8"/>
  <c r="I13" i="8"/>
  <c r="H13" i="8"/>
  <c r="G13" i="8"/>
  <c r="E13" i="8"/>
  <c r="C13" i="8"/>
  <c r="B13" i="8"/>
  <c r="AB12" i="8"/>
  <c r="AA12" i="8"/>
  <c r="Z12" i="8"/>
  <c r="Y12" i="8"/>
  <c r="X12" i="8"/>
  <c r="V12" i="8"/>
  <c r="U12" i="8"/>
  <c r="T12" i="8"/>
  <c r="S12" i="8"/>
  <c r="R12" i="8"/>
  <c r="Q12" i="8"/>
  <c r="O12" i="8"/>
  <c r="N12" i="8"/>
  <c r="H12" i="8"/>
  <c r="E12" i="8"/>
  <c r="D12" i="8"/>
  <c r="C12" i="8"/>
  <c r="B12" i="8"/>
  <c r="W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B7" i="8"/>
  <c r="J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A3" i="8"/>
  <c r="Z3" i="8"/>
  <c r="R3" i="8"/>
  <c r="Q3" i="8"/>
  <c r="P3" i="8"/>
  <c r="O3" i="8"/>
  <c r="N3" i="8"/>
  <c r="M3" i="8"/>
  <c r="L3" i="8"/>
  <c r="K3" i="8"/>
  <c r="I3" i="8"/>
  <c r="H3" i="8"/>
  <c r="B3" i="8"/>
  <c r="AB3" i="8" s="1"/>
  <c r="AA2" i="8"/>
  <c r="W2" i="8"/>
  <c r="V2" i="8"/>
  <c r="U2" i="8"/>
  <c r="T2" i="8"/>
  <c r="R2" i="8"/>
  <c r="Q2" i="8"/>
  <c r="P2" i="8"/>
  <c r="N2" i="8"/>
  <c r="M2" i="8"/>
  <c r="L2" i="8"/>
  <c r="K2" i="8"/>
  <c r="I2" i="8"/>
  <c r="H2" i="8"/>
  <c r="G2" i="8"/>
  <c r="F2" i="8"/>
  <c r="B2" i="8"/>
  <c r="Z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T17" i="7"/>
  <c r="S17" i="7"/>
  <c r="Q17" i="7"/>
  <c r="M17" i="7"/>
  <c r="L17" i="7"/>
  <c r="K17" i="7"/>
  <c r="J17" i="7"/>
  <c r="I17" i="7"/>
  <c r="H17" i="7"/>
  <c r="F17" i="7"/>
  <c r="B17" i="7"/>
  <c r="C17" i="7" s="1"/>
  <c r="N16" i="7"/>
  <c r="M16" i="7"/>
  <c r="L16" i="7"/>
  <c r="J16" i="7"/>
  <c r="H16" i="7"/>
  <c r="G16" i="7"/>
  <c r="B16" i="7"/>
  <c r="AA16" i="7" s="1"/>
  <c r="Y15" i="7"/>
  <c r="W15" i="7"/>
  <c r="V15" i="7"/>
  <c r="U15" i="7"/>
  <c r="S15" i="7"/>
  <c r="Q15" i="7"/>
  <c r="P15" i="7"/>
  <c r="B15" i="7"/>
  <c r="AA15" i="7" s="1"/>
  <c r="AB14" i="7"/>
  <c r="AA14" i="7"/>
  <c r="Y14" i="7"/>
  <c r="X14" i="7"/>
  <c r="V14" i="7"/>
  <c r="T14" i="7"/>
  <c r="S14" i="7"/>
  <c r="R14" i="7"/>
  <c r="N14" i="7"/>
  <c r="M14" i="7"/>
  <c r="L14" i="7"/>
  <c r="I14" i="7"/>
  <c r="H14" i="7"/>
  <c r="F14" i="7"/>
  <c r="D14" i="7"/>
  <c r="B14" i="7"/>
  <c r="AA13" i="7"/>
  <c r="X13" i="7"/>
  <c r="W13" i="7"/>
  <c r="V13" i="7"/>
  <c r="T13" i="7"/>
  <c r="S13" i="7"/>
  <c r="Q13" i="7"/>
  <c r="O13" i="7"/>
  <c r="N13" i="7"/>
  <c r="M13" i="7"/>
  <c r="F13" i="7"/>
  <c r="B13" i="7"/>
  <c r="AB13" i="7" s="1"/>
  <c r="AB12" i="7"/>
  <c r="Y12" i="7"/>
  <c r="T12" i="7"/>
  <c r="S12" i="7"/>
  <c r="R12" i="7"/>
  <c r="P12" i="7"/>
  <c r="O12" i="7"/>
  <c r="M12" i="7"/>
  <c r="L12" i="7"/>
  <c r="K12" i="7"/>
  <c r="J12" i="7"/>
  <c r="H12" i="7"/>
  <c r="B12" i="7"/>
  <c r="N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Z8" i="7"/>
  <c r="Y8" i="7"/>
  <c r="W8" i="7"/>
  <c r="V8" i="7"/>
  <c r="U8" i="7"/>
  <c r="T8" i="7"/>
  <c r="R8" i="7"/>
  <c r="Q8" i="7"/>
  <c r="P8" i="7"/>
  <c r="N8" i="7"/>
  <c r="M8" i="7"/>
  <c r="L8" i="7"/>
  <c r="K8" i="7"/>
  <c r="J8" i="7"/>
  <c r="H8" i="7"/>
  <c r="G8" i="7"/>
  <c r="F8" i="7"/>
  <c r="E8" i="7"/>
  <c r="D8" i="7"/>
  <c r="C8" i="7"/>
  <c r="B8" i="7"/>
  <c r="AA7" i="7"/>
  <c r="Z7" i="7"/>
  <c r="Y7" i="7"/>
  <c r="V7" i="7"/>
  <c r="U7" i="7"/>
  <c r="S7" i="7"/>
  <c r="R7" i="7"/>
  <c r="P7" i="7"/>
  <c r="O7" i="7"/>
  <c r="N7" i="7"/>
  <c r="M7" i="7"/>
  <c r="K7" i="7"/>
  <c r="J7" i="7"/>
  <c r="I7" i="7"/>
  <c r="H7" i="7"/>
  <c r="F7" i="7"/>
  <c r="E7" i="7"/>
  <c r="D7" i="7"/>
  <c r="B7" i="7"/>
  <c r="W7" i="7" s="1"/>
  <c r="H6" i="7"/>
  <c r="F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V3" i="7"/>
  <c r="T3" i="7"/>
  <c r="S3" i="7"/>
  <c r="P3" i="7"/>
  <c r="O3" i="7"/>
  <c r="N3" i="7"/>
  <c r="M3" i="7"/>
  <c r="L3" i="7"/>
  <c r="K3" i="7"/>
  <c r="J3" i="7"/>
  <c r="B3" i="7"/>
  <c r="G3" i="7" s="1"/>
  <c r="B2" i="7"/>
  <c r="N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B17" i="6"/>
  <c r="Q17" i="6" s="1"/>
  <c r="E16" i="6"/>
  <c r="D16" i="6"/>
  <c r="C16" i="6"/>
  <c r="B16" i="6"/>
  <c r="U15" i="6"/>
  <c r="P15" i="6"/>
  <c r="O15" i="6"/>
  <c r="N15" i="6"/>
  <c r="M15" i="6"/>
  <c r="L15" i="6"/>
  <c r="K15" i="6"/>
  <c r="J15" i="6"/>
  <c r="I15" i="6"/>
  <c r="H15" i="6"/>
  <c r="G15" i="6"/>
  <c r="B15" i="6"/>
  <c r="Y15" i="6" s="1"/>
  <c r="Y14" i="6"/>
  <c r="X14" i="6"/>
  <c r="Q14" i="6"/>
  <c r="P14" i="6"/>
  <c r="O14" i="6"/>
  <c r="N14" i="6"/>
  <c r="M14" i="6"/>
  <c r="L14" i="6"/>
  <c r="K14" i="6"/>
  <c r="J14" i="6"/>
  <c r="I14" i="6"/>
  <c r="H14" i="6"/>
  <c r="B14" i="6"/>
  <c r="D14" i="6" s="1"/>
  <c r="K13" i="6"/>
  <c r="I13" i="6"/>
  <c r="H13" i="6"/>
  <c r="G13" i="6"/>
  <c r="B13" i="6"/>
  <c r="AB12" i="6"/>
  <c r="Y12" i="6"/>
  <c r="W12" i="6"/>
  <c r="S12" i="6"/>
  <c r="R12" i="6"/>
  <c r="L12" i="6"/>
  <c r="K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G8" i="6"/>
  <c r="E8" i="6"/>
  <c r="B8" i="6"/>
  <c r="AB8" i="6" s="1"/>
  <c r="B7" i="6"/>
  <c r="J7" i="6" s="1"/>
  <c r="B6" i="6"/>
  <c r="P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U17" i="5"/>
  <c r="Q17" i="5"/>
  <c r="P17" i="5"/>
  <c r="K17" i="5"/>
  <c r="J17" i="5"/>
  <c r="D17" i="5"/>
  <c r="B17" i="5"/>
  <c r="O17" i="5" s="1"/>
  <c r="B16" i="5"/>
  <c r="W15" i="5"/>
  <c r="V15" i="5"/>
  <c r="U15" i="5"/>
  <c r="S15" i="5"/>
  <c r="R15" i="5"/>
  <c r="Q15" i="5"/>
  <c r="B15" i="5"/>
  <c r="X15" i="5" s="1"/>
  <c r="AB14" i="5"/>
  <c r="AA14" i="5"/>
  <c r="Z14" i="5"/>
  <c r="Y14" i="5"/>
  <c r="W14" i="5"/>
  <c r="V14" i="5"/>
  <c r="O14" i="5"/>
  <c r="B14" i="5"/>
  <c r="D14" i="5" s="1"/>
  <c r="B13" i="5"/>
  <c r="AB13" i="5" s="1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U7" i="5"/>
  <c r="N7" i="5"/>
  <c r="I7" i="5"/>
  <c r="B7" i="5"/>
  <c r="D7" i="5" s="1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B3" i="5"/>
  <c r="W3" i="5" s="1"/>
  <c r="B2" i="5"/>
  <c r="F2" i="5" s="1"/>
  <c r="B2" i="1"/>
  <c r="Z17" i="6" l="1"/>
  <c r="AA14" i="9"/>
  <c r="U7" i="11"/>
  <c r="AB12" i="12"/>
  <c r="C12" i="12"/>
  <c r="Y7" i="13"/>
  <c r="H7" i="13"/>
  <c r="D7" i="13"/>
  <c r="AA7" i="13"/>
  <c r="Z15" i="14"/>
  <c r="J8" i="15"/>
  <c r="E8" i="15"/>
  <c r="D8" i="15"/>
  <c r="C8" i="15"/>
  <c r="AA8" i="15"/>
  <c r="X8" i="15"/>
  <c r="W8" i="15"/>
  <c r="T8" i="15"/>
  <c r="O8" i="15"/>
  <c r="AB14" i="15"/>
  <c r="M14" i="15"/>
  <c r="E14" i="15"/>
  <c r="D14" i="15"/>
  <c r="Z2" i="17"/>
  <c r="W2" i="17"/>
  <c r="L2" i="17"/>
  <c r="I2" i="17"/>
  <c r="G2" i="17"/>
  <c r="F2" i="17"/>
  <c r="T15" i="5"/>
  <c r="AB13" i="6"/>
  <c r="S13" i="6"/>
  <c r="C17" i="6"/>
  <c r="T15" i="7"/>
  <c r="F6" i="8"/>
  <c r="F13" i="8"/>
  <c r="S13" i="8"/>
  <c r="X14" i="8"/>
  <c r="Z14" i="8"/>
  <c r="C14" i="8"/>
  <c r="P14" i="8"/>
  <c r="AB14" i="8"/>
  <c r="D14" i="9"/>
  <c r="K15" i="9"/>
  <c r="H13" i="10"/>
  <c r="Y15" i="10"/>
  <c r="Z7" i="11"/>
  <c r="W15" i="11"/>
  <c r="AA12" i="12"/>
  <c r="Q15" i="12"/>
  <c r="F7" i="13"/>
  <c r="U6" i="14"/>
  <c r="T6" i="14"/>
  <c r="S6" i="14"/>
  <c r="O6" i="14"/>
  <c r="L6" i="14"/>
  <c r="J6" i="14"/>
  <c r="G6" i="14"/>
  <c r="F8" i="15"/>
  <c r="N14" i="15"/>
  <c r="J2" i="17"/>
  <c r="X17" i="18"/>
  <c r="V17" i="18"/>
  <c r="U17" i="18"/>
  <c r="T17" i="18"/>
  <c r="S17" i="18"/>
  <c r="Q17" i="18"/>
  <c r="P17" i="18"/>
  <c r="O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D17" i="6"/>
  <c r="AA6" i="7"/>
  <c r="K6" i="7"/>
  <c r="O6" i="8"/>
  <c r="Z15" i="8"/>
  <c r="N15" i="8"/>
  <c r="E14" i="9"/>
  <c r="M13" i="10"/>
  <c r="AA7" i="11"/>
  <c r="S14" i="11"/>
  <c r="U14" i="11"/>
  <c r="P14" i="11"/>
  <c r="M14" i="11"/>
  <c r="K14" i="11"/>
  <c r="R15" i="12"/>
  <c r="G7" i="13"/>
  <c r="W13" i="13"/>
  <c r="Z13" i="13"/>
  <c r="U13" i="13"/>
  <c r="R13" i="13"/>
  <c r="P13" i="13"/>
  <c r="N13" i="13"/>
  <c r="Y14" i="14"/>
  <c r="S14" i="14"/>
  <c r="G8" i="15"/>
  <c r="O14" i="15"/>
  <c r="O3" i="19"/>
  <c r="J3" i="19"/>
  <c r="I3" i="19"/>
  <c r="H3" i="19"/>
  <c r="G3" i="19"/>
  <c r="E3" i="19"/>
  <c r="D3" i="19"/>
  <c r="AB3" i="19"/>
  <c r="C3" i="19"/>
  <c r="Z3" i="19"/>
  <c r="Y3" i="19"/>
  <c r="W3" i="19"/>
  <c r="V3" i="19"/>
  <c r="U3" i="19"/>
  <c r="T3" i="19"/>
  <c r="S3" i="19"/>
  <c r="R3" i="19"/>
  <c r="P3" i="19"/>
  <c r="N3" i="19"/>
  <c r="M3" i="19"/>
  <c r="K3" i="19"/>
  <c r="X7" i="15"/>
  <c r="M7" i="15"/>
  <c r="I7" i="15"/>
  <c r="H7" i="15"/>
  <c r="G7" i="15"/>
  <c r="Z7" i="15"/>
  <c r="C7" i="15"/>
  <c r="V7" i="15"/>
  <c r="U7" i="15"/>
  <c r="T7" i="15"/>
  <c r="R7" i="15"/>
  <c r="W2" i="10"/>
  <c r="C2" i="10"/>
  <c r="Y2" i="10"/>
  <c r="V2" i="10"/>
  <c r="D15" i="14"/>
  <c r="F2" i="15"/>
  <c r="D7" i="15"/>
  <c r="N8" i="15"/>
  <c r="AB2" i="16"/>
  <c r="AA2" i="16"/>
  <c r="X2" i="16"/>
  <c r="W2" i="16"/>
  <c r="U2" i="16"/>
  <c r="Q2" i="16"/>
  <c r="AB14" i="16"/>
  <c r="Y14" i="16"/>
  <c r="J14" i="16"/>
  <c r="F14" i="16"/>
  <c r="X14" i="9"/>
  <c r="Q14" i="9"/>
  <c r="M14" i="9"/>
  <c r="H14" i="9"/>
  <c r="H12" i="5"/>
  <c r="D15" i="5"/>
  <c r="C8" i="10"/>
  <c r="E7" i="11"/>
  <c r="I8" i="11"/>
  <c r="H14" i="11"/>
  <c r="R7" i="13"/>
  <c r="E15" i="5"/>
  <c r="R14" i="6"/>
  <c r="V12" i="7"/>
  <c r="S3" i="8"/>
  <c r="M7" i="8"/>
  <c r="K13" i="8"/>
  <c r="I14" i="11"/>
  <c r="S7" i="13"/>
  <c r="O13" i="13"/>
  <c r="X15" i="13"/>
  <c r="AB15" i="13"/>
  <c r="D15" i="13"/>
  <c r="W15" i="13"/>
  <c r="S15" i="13"/>
  <c r="Q15" i="13"/>
  <c r="O15" i="13"/>
  <c r="P6" i="14"/>
  <c r="F15" i="14"/>
  <c r="J2" i="15"/>
  <c r="E7" i="15"/>
  <c r="R8" i="15"/>
  <c r="D2" i="16"/>
  <c r="C14" i="16"/>
  <c r="E17" i="6"/>
  <c r="F17" i="6"/>
  <c r="G2" i="7"/>
  <c r="G17" i="6"/>
  <c r="Z13" i="10"/>
  <c r="X15" i="7"/>
  <c r="R15" i="7"/>
  <c r="N13" i="6"/>
  <c r="O6" i="7"/>
  <c r="K7" i="8"/>
  <c r="K14" i="9"/>
  <c r="X14" i="10"/>
  <c r="Q14" i="10"/>
  <c r="M14" i="10"/>
  <c r="J14" i="10"/>
  <c r="H14" i="10"/>
  <c r="X12" i="6"/>
  <c r="N12" i="6"/>
  <c r="O13" i="6"/>
  <c r="K17" i="6"/>
  <c r="M2" i="7"/>
  <c r="Z3" i="7"/>
  <c r="D15" i="7"/>
  <c r="AB15" i="7"/>
  <c r="U17" i="7"/>
  <c r="J14" i="8"/>
  <c r="J15" i="8"/>
  <c r="U7" i="9"/>
  <c r="L14" i="9"/>
  <c r="D2" i="10"/>
  <c r="G8" i="10"/>
  <c r="C14" i="10"/>
  <c r="C15" i="10"/>
  <c r="F7" i="11"/>
  <c r="J8" i="11"/>
  <c r="V14" i="12"/>
  <c r="AB15" i="12"/>
  <c r="D2" i="5"/>
  <c r="M6" i="5"/>
  <c r="G13" i="5"/>
  <c r="F15" i="5"/>
  <c r="K6" i="6"/>
  <c r="D12" i="6"/>
  <c r="P13" i="6"/>
  <c r="S14" i="6"/>
  <c r="R15" i="6"/>
  <c r="M17" i="6"/>
  <c r="AB3" i="7"/>
  <c r="Q6" i="7"/>
  <c r="Q7" i="7"/>
  <c r="W12" i="7"/>
  <c r="Z14" i="7"/>
  <c r="U14" i="7"/>
  <c r="E15" i="7"/>
  <c r="V17" i="7"/>
  <c r="S2" i="8"/>
  <c r="V3" i="8"/>
  <c r="O7" i="8"/>
  <c r="L13" i="8"/>
  <c r="K14" i="8"/>
  <c r="K15" i="8"/>
  <c r="W7" i="9"/>
  <c r="N14" i="9"/>
  <c r="E2" i="10"/>
  <c r="I8" i="10"/>
  <c r="D14" i="10"/>
  <c r="G7" i="11"/>
  <c r="K8" i="11"/>
  <c r="J14" i="11"/>
  <c r="W14" i="12"/>
  <c r="U7" i="13"/>
  <c r="Q13" i="13"/>
  <c r="C15" i="13"/>
  <c r="Q6" i="14"/>
  <c r="H15" i="14"/>
  <c r="K2" i="15"/>
  <c r="F7" i="15"/>
  <c r="Y8" i="15"/>
  <c r="K2" i="16"/>
  <c r="G14" i="16"/>
  <c r="E6" i="8"/>
  <c r="D13" i="10"/>
  <c r="Y2" i="7"/>
  <c r="L2" i="7"/>
  <c r="H8" i="15"/>
  <c r="E6" i="6"/>
  <c r="M13" i="6"/>
  <c r="H17" i="6"/>
  <c r="I2" i="7"/>
  <c r="C15" i="7"/>
  <c r="J13" i="8"/>
  <c r="I14" i="8"/>
  <c r="I15" i="8"/>
  <c r="X15" i="10"/>
  <c r="N15" i="10"/>
  <c r="I15" i="10"/>
  <c r="F15" i="10"/>
  <c r="D15" i="10"/>
  <c r="R14" i="12"/>
  <c r="C2" i="5"/>
  <c r="K6" i="5"/>
  <c r="F13" i="5"/>
  <c r="AB15" i="5"/>
  <c r="J6" i="6"/>
  <c r="Q15" i="6"/>
  <c r="P6" i="7"/>
  <c r="E2" i="5"/>
  <c r="R6" i="5"/>
  <c r="H13" i="5"/>
  <c r="G15" i="5"/>
  <c r="L6" i="6"/>
  <c r="J12" i="6"/>
  <c r="Q13" i="6"/>
  <c r="T14" i="6"/>
  <c r="T15" i="6"/>
  <c r="O17" i="6"/>
  <c r="O2" i="7"/>
  <c r="R6" i="7"/>
  <c r="X12" i="7"/>
  <c r="F15" i="7"/>
  <c r="Z17" i="7"/>
  <c r="W3" i="8"/>
  <c r="P7" i="8"/>
  <c r="M13" i="8"/>
  <c r="L14" i="8"/>
  <c r="L15" i="8"/>
  <c r="X7" i="9"/>
  <c r="O14" i="9"/>
  <c r="F2" i="10"/>
  <c r="K8" i="10"/>
  <c r="E14" i="10"/>
  <c r="G15" i="10"/>
  <c r="H7" i="11"/>
  <c r="N8" i="11"/>
  <c r="L14" i="11"/>
  <c r="X14" i="12"/>
  <c r="W7" i="13"/>
  <c r="S13" i="13"/>
  <c r="E15" i="13"/>
  <c r="R6" i="14"/>
  <c r="J15" i="14"/>
  <c r="L2" i="15"/>
  <c r="J7" i="15"/>
  <c r="Z8" i="15"/>
  <c r="P2" i="16"/>
  <c r="AA7" i="19"/>
  <c r="U7" i="19"/>
  <c r="R7" i="19"/>
  <c r="M7" i="19"/>
  <c r="L7" i="19"/>
  <c r="H7" i="19"/>
  <c r="G7" i="19"/>
  <c r="F7" i="19"/>
  <c r="C7" i="19"/>
  <c r="G14" i="9"/>
  <c r="K14" i="12"/>
  <c r="H15" i="8"/>
  <c r="AA13" i="10"/>
  <c r="Q7" i="8"/>
  <c r="N13" i="8"/>
  <c r="M14" i="8"/>
  <c r="M15" i="8"/>
  <c r="P14" i="9"/>
  <c r="G2" i="10"/>
  <c r="N8" i="10"/>
  <c r="F14" i="10"/>
  <c r="H15" i="10"/>
  <c r="N14" i="11"/>
  <c r="Y14" i="12"/>
  <c r="X7" i="13"/>
  <c r="T13" i="13"/>
  <c r="W6" i="14"/>
  <c r="K15" i="14"/>
  <c r="N2" i="15"/>
  <c r="K7" i="15"/>
  <c r="AB8" i="15"/>
  <c r="T2" i="16"/>
  <c r="C14" i="9"/>
  <c r="P13" i="10"/>
  <c r="Y13" i="10"/>
  <c r="E6" i="5"/>
  <c r="Z15" i="7"/>
  <c r="C15" i="14"/>
  <c r="M8" i="15"/>
  <c r="H15" i="5"/>
  <c r="R13" i="6"/>
  <c r="P2" i="7"/>
  <c r="N6" i="6"/>
  <c r="T13" i="6"/>
  <c r="U6" i="7"/>
  <c r="S7" i="8"/>
  <c r="K15" i="10"/>
  <c r="X15" i="12"/>
  <c r="L15" i="12"/>
  <c r="H15" i="12"/>
  <c r="E15" i="12"/>
  <c r="AA15" i="12"/>
  <c r="C15" i="12"/>
  <c r="Y15" i="12"/>
  <c r="AA3" i="13"/>
  <c r="W3" i="13"/>
  <c r="P3" i="13"/>
  <c r="M3" i="13"/>
  <c r="Z7" i="13"/>
  <c r="V13" i="13"/>
  <c r="M15" i="14"/>
  <c r="O2" i="15"/>
  <c r="L7" i="15"/>
  <c r="Y2" i="16"/>
  <c r="Z3" i="18"/>
  <c r="I3" i="18"/>
  <c r="H3" i="18"/>
  <c r="E3" i="18"/>
  <c r="D3" i="18"/>
  <c r="Y3" i="18"/>
  <c r="W3" i="18"/>
  <c r="S3" i="18"/>
  <c r="R3" i="18"/>
  <c r="Q3" i="18"/>
  <c r="N3" i="18"/>
  <c r="M3" i="18"/>
  <c r="K3" i="18"/>
  <c r="N17" i="6"/>
  <c r="L17" i="6"/>
  <c r="I6" i="7"/>
  <c r="I14" i="9"/>
  <c r="L14" i="12"/>
  <c r="G15" i="7"/>
  <c r="V15" i="6"/>
  <c r="O13" i="8"/>
  <c r="N14" i="8"/>
  <c r="O15" i="8"/>
  <c r="R14" i="9"/>
  <c r="H2" i="10"/>
  <c r="O14" i="11"/>
  <c r="L3" i="5"/>
  <c r="Z6" i="5"/>
  <c r="K13" i="5"/>
  <c r="J15" i="5"/>
  <c r="Z13" i="7"/>
  <c r="R13" i="7"/>
  <c r="I15" i="7"/>
  <c r="T7" i="8"/>
  <c r="P13" i="8"/>
  <c r="O14" i="8"/>
  <c r="P15" i="8"/>
  <c r="S14" i="9"/>
  <c r="J2" i="10"/>
  <c r="AB8" i="10"/>
  <c r="I14" i="10"/>
  <c r="L15" i="10"/>
  <c r="F6" i="12"/>
  <c r="AB6" i="13"/>
  <c r="AA6" i="13"/>
  <c r="P6" i="13"/>
  <c r="M6" i="13"/>
  <c r="AB7" i="13"/>
  <c r="AB12" i="13"/>
  <c r="T12" i="13"/>
  <c r="M12" i="13"/>
  <c r="I12" i="13"/>
  <c r="D12" i="13"/>
  <c r="X13" i="13"/>
  <c r="H15" i="13"/>
  <c r="Z6" i="14"/>
  <c r="N15" i="14"/>
  <c r="P2" i="15"/>
  <c r="N7" i="15"/>
  <c r="J3" i="18"/>
  <c r="AB14" i="9"/>
  <c r="AA15" i="9"/>
  <c r="M15" i="9"/>
  <c r="AB8" i="11"/>
  <c r="X8" i="11"/>
  <c r="S8" i="11"/>
  <c r="K8" i="15"/>
  <c r="Y15" i="5"/>
  <c r="Q7" i="11"/>
  <c r="AB7" i="11"/>
  <c r="D7" i="11"/>
  <c r="W7" i="11"/>
  <c r="T7" i="11"/>
  <c r="R7" i="11"/>
  <c r="L8" i="15"/>
  <c r="J6" i="5"/>
  <c r="J13" i="5"/>
  <c r="Z8" i="10"/>
  <c r="G14" i="10"/>
  <c r="J7" i="11"/>
  <c r="P8" i="11"/>
  <c r="O6" i="6"/>
  <c r="O12" i="6"/>
  <c r="V13" i="6"/>
  <c r="AA14" i="6"/>
  <c r="W15" i="6"/>
  <c r="R17" i="6"/>
  <c r="R2" i="7"/>
  <c r="V6" i="7"/>
  <c r="K7" i="11"/>
  <c r="Q8" i="11"/>
  <c r="Q14" i="11"/>
  <c r="D15" i="12"/>
  <c r="C3" i="13"/>
  <c r="M3" i="5"/>
  <c r="M13" i="5"/>
  <c r="K15" i="5"/>
  <c r="L17" i="5"/>
  <c r="AA6" i="6"/>
  <c r="P12" i="6"/>
  <c r="Y13" i="6"/>
  <c r="AB14" i="6"/>
  <c r="S17" i="6"/>
  <c r="S2" i="7"/>
  <c r="W6" i="7"/>
  <c r="E13" i="7"/>
  <c r="J14" i="7"/>
  <c r="J15" i="7"/>
  <c r="U7" i="8"/>
  <c r="Q13" i="8"/>
  <c r="Q14" i="8"/>
  <c r="U15" i="8"/>
  <c r="T14" i="9"/>
  <c r="K2" i="10"/>
  <c r="K14" i="10"/>
  <c r="M15" i="10"/>
  <c r="I2" i="11"/>
  <c r="AA6" i="11"/>
  <c r="U6" i="11"/>
  <c r="Q6" i="11"/>
  <c r="O6" i="11"/>
  <c r="L7" i="11"/>
  <c r="R8" i="11"/>
  <c r="R14" i="11"/>
  <c r="F15" i="12"/>
  <c r="D3" i="13"/>
  <c r="G6" i="13"/>
  <c r="H12" i="13"/>
  <c r="Y13" i="13"/>
  <c r="I15" i="13"/>
  <c r="AA6" i="14"/>
  <c r="O15" i="14"/>
  <c r="Q2" i="15"/>
  <c r="O7" i="15"/>
  <c r="P3" i="18"/>
  <c r="D8" i="11"/>
  <c r="D2" i="15"/>
  <c r="I6" i="5"/>
  <c r="C15" i="5"/>
  <c r="C7" i="11"/>
  <c r="E2" i="15"/>
  <c r="K15" i="7"/>
  <c r="U14" i="9"/>
  <c r="L2" i="10"/>
  <c r="L14" i="10"/>
  <c r="O15" i="10"/>
  <c r="M7" i="11"/>
  <c r="T8" i="11"/>
  <c r="T14" i="11"/>
  <c r="Y7" i="12"/>
  <c r="V7" i="12"/>
  <c r="P7" i="12"/>
  <c r="J7" i="12"/>
  <c r="G15" i="12"/>
  <c r="E3" i="13"/>
  <c r="H6" i="13"/>
  <c r="J12" i="13"/>
  <c r="U14" i="13"/>
  <c r="Y14" i="13"/>
  <c r="T14" i="13"/>
  <c r="R14" i="13"/>
  <c r="P14" i="13"/>
  <c r="J15" i="13"/>
  <c r="P7" i="15"/>
  <c r="U17" i="16"/>
  <c r="R17" i="16"/>
  <c r="J17" i="16"/>
  <c r="G17" i="16"/>
  <c r="D17" i="16"/>
  <c r="C17" i="16"/>
  <c r="Y7" i="17"/>
  <c r="X7" i="17"/>
  <c r="W7" i="17"/>
  <c r="V7" i="17"/>
  <c r="T7" i="17"/>
  <c r="S7" i="17"/>
  <c r="R7" i="17"/>
  <c r="O7" i="17"/>
  <c r="K7" i="17"/>
  <c r="J7" i="17"/>
  <c r="H7" i="17"/>
  <c r="F7" i="17"/>
  <c r="E7" i="17"/>
  <c r="D7" i="17"/>
  <c r="V3" i="18"/>
  <c r="X2" i="15"/>
  <c r="M2" i="15"/>
  <c r="I2" i="15"/>
  <c r="H2" i="15"/>
  <c r="G2" i="15"/>
  <c r="AB2" i="15"/>
  <c r="C2" i="15"/>
  <c r="Y2" i="15"/>
  <c r="V2" i="15"/>
  <c r="U2" i="15"/>
  <c r="R2" i="15"/>
  <c r="X15" i="14"/>
  <c r="V15" i="14"/>
  <c r="R15" i="14"/>
  <c r="Q15" i="14"/>
  <c r="P15" i="14"/>
  <c r="L15" i="14"/>
  <c r="I15" i="14"/>
  <c r="G15" i="14"/>
  <c r="AB15" i="14"/>
  <c r="E15" i="14"/>
  <c r="N6" i="7"/>
  <c r="J14" i="9"/>
  <c r="Q14" i="12"/>
  <c r="J17" i="6"/>
  <c r="W6" i="5"/>
  <c r="I13" i="5"/>
  <c r="S6" i="7"/>
  <c r="X15" i="6"/>
  <c r="S15" i="6"/>
  <c r="W7" i="8"/>
  <c r="Q3" i="5"/>
  <c r="V14" i="11"/>
  <c r="I15" i="12"/>
  <c r="T15" i="14"/>
  <c r="Z2" i="15"/>
  <c r="Q7" i="15"/>
  <c r="P6" i="8"/>
  <c r="Z15" i="9"/>
  <c r="I6" i="6"/>
  <c r="K2" i="7"/>
  <c r="M6" i="6"/>
  <c r="P17" i="6"/>
  <c r="Q2" i="7"/>
  <c r="H15" i="7"/>
  <c r="N3" i="5"/>
  <c r="L15" i="5"/>
  <c r="C14" i="6"/>
  <c r="C15" i="6"/>
  <c r="AA15" i="6"/>
  <c r="U17" i="6"/>
  <c r="Z6" i="7"/>
  <c r="J3" i="8"/>
  <c r="E3" i="8"/>
  <c r="Y7" i="8"/>
  <c r="T13" i="8"/>
  <c r="S14" i="8"/>
  <c r="AA15" i="8"/>
  <c r="N14" i="10"/>
  <c r="T12" i="6"/>
  <c r="D15" i="6"/>
  <c r="V17" i="6"/>
  <c r="F3" i="7"/>
  <c r="AB6" i="7"/>
  <c r="C3" i="8"/>
  <c r="Z7" i="8"/>
  <c r="U13" i="8"/>
  <c r="W14" i="9"/>
  <c r="N2" i="10"/>
  <c r="O14" i="10"/>
  <c r="Q15" i="10"/>
  <c r="U3" i="11"/>
  <c r="Q3" i="11"/>
  <c r="M3" i="11"/>
  <c r="O7" i="11"/>
  <c r="I12" i="11"/>
  <c r="C12" i="11"/>
  <c r="W14" i="11"/>
  <c r="E7" i="12"/>
  <c r="J15" i="12"/>
  <c r="T17" i="12"/>
  <c r="S2" i="13"/>
  <c r="Z2" i="13"/>
  <c r="U2" i="13"/>
  <c r="P2" i="13"/>
  <c r="N2" i="13"/>
  <c r="L2" i="13"/>
  <c r="I3" i="13"/>
  <c r="K6" i="13"/>
  <c r="O12" i="13"/>
  <c r="F14" i="13"/>
  <c r="L15" i="13"/>
  <c r="N3" i="14"/>
  <c r="I3" i="14"/>
  <c r="G3" i="14"/>
  <c r="C3" i="14"/>
  <c r="Z3" i="14"/>
  <c r="X3" i="14"/>
  <c r="V3" i="14"/>
  <c r="U15" i="14"/>
  <c r="AA2" i="15"/>
  <c r="S7" i="15"/>
  <c r="V17" i="16"/>
  <c r="P7" i="17"/>
  <c r="H2" i="7"/>
  <c r="G7" i="8"/>
  <c r="Z15" i="5"/>
  <c r="D13" i="5"/>
  <c r="AA15" i="5"/>
  <c r="X6" i="5"/>
  <c r="U14" i="6"/>
  <c r="W14" i="6"/>
  <c r="Z15" i="6"/>
  <c r="T17" i="6"/>
  <c r="Z2" i="7"/>
  <c r="X6" i="7"/>
  <c r="R13" i="8"/>
  <c r="R14" i="8"/>
  <c r="Y15" i="8"/>
  <c r="X13" i="5"/>
  <c r="M15" i="5"/>
  <c r="AB17" i="7"/>
  <c r="G17" i="7"/>
  <c r="F3" i="13"/>
  <c r="Y13" i="5"/>
  <c r="R17" i="5"/>
  <c r="T14" i="8"/>
  <c r="C3" i="9"/>
  <c r="C7" i="9"/>
  <c r="T3" i="5"/>
  <c r="V7" i="5"/>
  <c r="Z13" i="5"/>
  <c r="O15" i="5"/>
  <c r="S17" i="5"/>
  <c r="C8" i="6"/>
  <c r="U12" i="6"/>
  <c r="E14" i="6"/>
  <c r="E15" i="6"/>
  <c r="W17" i="6"/>
  <c r="J13" i="7"/>
  <c r="O14" i="7"/>
  <c r="N15" i="7"/>
  <c r="D17" i="7"/>
  <c r="O2" i="8"/>
  <c r="D2" i="8"/>
  <c r="D3" i="8"/>
  <c r="V13" i="8"/>
  <c r="U14" i="8"/>
  <c r="F3" i="9"/>
  <c r="Y14" i="9"/>
  <c r="P2" i="10"/>
  <c r="AB12" i="10"/>
  <c r="Z12" i="10"/>
  <c r="P14" i="10"/>
  <c r="R15" i="10"/>
  <c r="C3" i="11"/>
  <c r="H6" i="11"/>
  <c r="P7" i="11"/>
  <c r="E12" i="11"/>
  <c r="X14" i="11"/>
  <c r="F7" i="12"/>
  <c r="K15" i="12"/>
  <c r="C2" i="13"/>
  <c r="J3" i="13"/>
  <c r="O6" i="13"/>
  <c r="R12" i="13"/>
  <c r="H14" i="13"/>
  <c r="M15" i="13"/>
  <c r="D3" i="14"/>
  <c r="F12" i="14"/>
  <c r="W15" i="14"/>
  <c r="P3" i="15"/>
  <c r="L3" i="15"/>
  <c r="G3" i="15"/>
  <c r="F3" i="15"/>
  <c r="E3" i="15"/>
  <c r="Z3" i="15"/>
  <c r="Y3" i="15"/>
  <c r="X3" i="15"/>
  <c r="U3" i="15"/>
  <c r="W7" i="15"/>
  <c r="Y17" i="16"/>
  <c r="U7" i="17"/>
  <c r="AB17" i="6"/>
  <c r="C8" i="11"/>
  <c r="E8" i="11"/>
  <c r="I15" i="5"/>
  <c r="R13" i="5"/>
  <c r="AB6" i="6"/>
  <c r="X3" i="7"/>
  <c r="U3" i="7"/>
  <c r="C12" i="7"/>
  <c r="H13" i="7"/>
  <c r="L15" i="7"/>
  <c r="Y7" i="9"/>
  <c r="F7" i="9"/>
  <c r="V7" i="9"/>
  <c r="V14" i="9"/>
  <c r="M2" i="10"/>
  <c r="P15" i="10"/>
  <c r="Q2" i="11"/>
  <c r="N7" i="11"/>
  <c r="S3" i="5"/>
  <c r="N15" i="5"/>
  <c r="AB15" i="6"/>
  <c r="E12" i="7"/>
  <c r="I13" i="7"/>
  <c r="M15" i="7"/>
  <c r="G7" i="7"/>
  <c r="L7" i="7"/>
  <c r="AB7" i="7"/>
  <c r="F12" i="7"/>
  <c r="U3" i="5"/>
  <c r="X7" i="5"/>
  <c r="P15" i="5"/>
  <c r="T17" i="5"/>
  <c r="D8" i="6"/>
  <c r="V12" i="6"/>
  <c r="F14" i="6"/>
  <c r="F15" i="6"/>
  <c r="X17" i="6"/>
  <c r="H3" i="7"/>
  <c r="C7" i="7"/>
  <c r="X8" i="7"/>
  <c r="I8" i="7"/>
  <c r="AB8" i="7"/>
  <c r="G12" i="7"/>
  <c r="K13" i="7"/>
  <c r="Q14" i="7"/>
  <c r="O15" i="7"/>
  <c r="E17" i="7"/>
  <c r="C2" i="8"/>
  <c r="G3" i="8"/>
  <c r="W13" i="8"/>
  <c r="V14" i="8"/>
  <c r="G3" i="9"/>
  <c r="G7" i="9"/>
  <c r="C12" i="9"/>
  <c r="Z14" i="9"/>
  <c r="U2" i="10"/>
  <c r="Y6" i="10"/>
  <c r="J6" i="10"/>
  <c r="C6" i="10"/>
  <c r="G12" i="10"/>
  <c r="R14" i="10"/>
  <c r="T15" i="10"/>
  <c r="D3" i="11"/>
  <c r="I6" i="11"/>
  <c r="S7" i="11"/>
  <c r="F12" i="11"/>
  <c r="AA14" i="11"/>
  <c r="G7" i="12"/>
  <c r="M15" i="12"/>
  <c r="D2" i="13"/>
  <c r="K3" i="13"/>
  <c r="Z6" i="13"/>
  <c r="S12" i="13"/>
  <c r="J14" i="13"/>
  <c r="N15" i="13"/>
  <c r="E3" i="14"/>
  <c r="AB13" i="14"/>
  <c r="S13" i="14"/>
  <c r="R13" i="14"/>
  <c r="Q13" i="14"/>
  <c r="E13" i="14"/>
  <c r="Y15" i="14"/>
  <c r="C3" i="15"/>
  <c r="Y7" i="15"/>
  <c r="Z17" i="16"/>
  <c r="Z7" i="17"/>
  <c r="AB8" i="18"/>
  <c r="Y12" i="18"/>
  <c r="E15" i="18"/>
  <c r="H2" i="19"/>
  <c r="N6" i="19"/>
  <c r="M8" i="19"/>
  <c r="C12" i="19"/>
  <c r="K13" i="19"/>
  <c r="T14" i="19"/>
  <c r="Q12" i="17"/>
  <c r="F2" i="18"/>
  <c r="C8" i="18"/>
  <c r="Z12" i="18"/>
  <c r="J15" i="18"/>
  <c r="M2" i="19"/>
  <c r="O6" i="19"/>
  <c r="N8" i="19"/>
  <c r="E12" i="19"/>
  <c r="L13" i="19"/>
  <c r="U14" i="19"/>
  <c r="G2" i="18"/>
  <c r="D8" i="18"/>
  <c r="K15" i="18"/>
  <c r="N2" i="19"/>
  <c r="R6" i="19"/>
  <c r="O8" i="19"/>
  <c r="F12" i="19"/>
  <c r="M13" i="19"/>
  <c r="V14" i="19"/>
  <c r="V2" i="14"/>
  <c r="H7" i="14"/>
  <c r="G7" i="16"/>
  <c r="Q6" i="17"/>
  <c r="D8" i="17"/>
  <c r="C15" i="17"/>
  <c r="J2" i="18"/>
  <c r="E8" i="18"/>
  <c r="M15" i="18"/>
  <c r="O2" i="19"/>
  <c r="W6" i="19"/>
  <c r="P8" i="19"/>
  <c r="G12" i="19"/>
  <c r="O13" i="19"/>
  <c r="AB14" i="19"/>
  <c r="X8" i="9"/>
  <c r="G3" i="12"/>
  <c r="U8" i="12"/>
  <c r="Y2" i="14"/>
  <c r="J7" i="14"/>
  <c r="W6" i="15"/>
  <c r="Z12" i="15"/>
  <c r="Z13" i="15"/>
  <c r="AA15" i="15"/>
  <c r="F6" i="16"/>
  <c r="I7" i="16"/>
  <c r="H8" i="17"/>
  <c r="U12" i="17"/>
  <c r="H15" i="17"/>
  <c r="L17" i="17"/>
  <c r="L2" i="18"/>
  <c r="I6" i="18"/>
  <c r="G8" i="18"/>
  <c r="H13" i="18"/>
  <c r="S15" i="18"/>
  <c r="R2" i="19"/>
  <c r="R8" i="19"/>
  <c r="I12" i="19"/>
  <c r="Q13" i="19"/>
  <c r="C15" i="19"/>
  <c r="X6" i="15"/>
  <c r="AA12" i="15"/>
  <c r="AA13" i="15"/>
  <c r="G6" i="16"/>
  <c r="J7" i="16"/>
  <c r="J8" i="17"/>
  <c r="V12" i="17"/>
  <c r="I15" i="17"/>
  <c r="M17" i="17"/>
  <c r="M2" i="18"/>
  <c r="J6" i="18"/>
  <c r="J8" i="18"/>
  <c r="P13" i="18"/>
  <c r="W15" i="18"/>
  <c r="S2" i="19"/>
  <c r="S8" i="19"/>
  <c r="J12" i="19"/>
  <c r="T13" i="19"/>
  <c r="E15" i="19"/>
  <c r="J3" i="12"/>
  <c r="W8" i="12"/>
  <c r="AA2" i="14"/>
  <c r="L7" i="14"/>
  <c r="AB13" i="15"/>
  <c r="H6" i="16"/>
  <c r="L7" i="16"/>
  <c r="N8" i="17"/>
  <c r="W12" i="17"/>
  <c r="N15" i="17"/>
  <c r="O17" i="17"/>
  <c r="N2" i="18"/>
  <c r="K6" i="18"/>
  <c r="K8" i="18"/>
  <c r="X15" i="18"/>
  <c r="U2" i="19"/>
  <c r="T8" i="19"/>
  <c r="L12" i="19"/>
  <c r="V13" i="19"/>
  <c r="F15" i="19"/>
  <c r="Y15" i="18"/>
  <c r="V2" i="19"/>
  <c r="V8" i="19"/>
  <c r="P12" i="19"/>
  <c r="W13" i="19"/>
  <c r="G15" i="19"/>
  <c r="P8" i="17"/>
  <c r="P2" i="18"/>
  <c r="N8" i="18"/>
  <c r="H14" i="18"/>
  <c r="W8" i="19"/>
  <c r="Y13" i="19"/>
  <c r="J15" i="19"/>
  <c r="G17" i="9"/>
  <c r="M3" i="12"/>
  <c r="O7" i="14"/>
  <c r="G12" i="15"/>
  <c r="E13" i="15"/>
  <c r="K6" i="16"/>
  <c r="P7" i="16"/>
  <c r="Q8" i="17"/>
  <c r="AB12" i="17"/>
  <c r="U17" i="17"/>
  <c r="R2" i="18"/>
  <c r="Q6" i="18"/>
  <c r="O8" i="18"/>
  <c r="L14" i="18"/>
  <c r="AA15" i="18"/>
  <c r="X2" i="19"/>
  <c r="Y8" i="19"/>
  <c r="R12" i="19"/>
  <c r="Z13" i="19"/>
  <c r="L15" i="19"/>
  <c r="C17" i="19"/>
  <c r="R8" i="17"/>
  <c r="W17" i="17"/>
  <c r="S2" i="18"/>
  <c r="W6" i="18"/>
  <c r="P8" i="18"/>
  <c r="Q14" i="18"/>
  <c r="AB15" i="18"/>
  <c r="Z2" i="19"/>
  <c r="Z8" i="19"/>
  <c r="T12" i="19"/>
  <c r="AA13" i="19"/>
  <c r="M15" i="19"/>
  <c r="E17" i="19"/>
  <c r="S8" i="17"/>
  <c r="U2" i="18"/>
  <c r="Q8" i="18"/>
  <c r="R14" i="18"/>
  <c r="AA8" i="19"/>
  <c r="O15" i="19"/>
  <c r="F17" i="19"/>
  <c r="AB8" i="19"/>
  <c r="V12" i="19"/>
  <c r="F14" i="19"/>
  <c r="P15" i="19"/>
  <c r="G17" i="19"/>
  <c r="G8" i="9"/>
  <c r="O17" i="9"/>
  <c r="V7" i="14"/>
  <c r="K12" i="15"/>
  <c r="O6" i="16"/>
  <c r="U7" i="16"/>
  <c r="K12" i="16"/>
  <c r="U8" i="17"/>
  <c r="E12" i="17"/>
  <c r="N13" i="17"/>
  <c r="Z17" i="17"/>
  <c r="X2" i="18"/>
  <c r="S8" i="18"/>
  <c r="V14" i="18"/>
  <c r="C8" i="19"/>
  <c r="Y12" i="19"/>
  <c r="G14" i="19"/>
  <c r="Q15" i="19"/>
  <c r="M17" i="19"/>
  <c r="W7" i="14"/>
  <c r="Q6" i="16"/>
  <c r="V7" i="16"/>
  <c r="W12" i="16"/>
  <c r="V8" i="17"/>
  <c r="Y2" i="18"/>
  <c r="T8" i="18"/>
  <c r="X14" i="18"/>
  <c r="D8" i="19"/>
  <c r="AA12" i="19"/>
  <c r="H14" i="19"/>
  <c r="W15" i="19"/>
  <c r="O17" i="19"/>
  <c r="X12" i="16"/>
  <c r="W8" i="17"/>
  <c r="Z2" i="18"/>
  <c r="U8" i="18"/>
  <c r="Y14" i="18"/>
  <c r="E8" i="19"/>
  <c r="AB12" i="19"/>
  <c r="J14" i="19"/>
  <c r="Y15" i="19"/>
  <c r="Q17" i="19"/>
  <c r="K14" i="19"/>
  <c r="AA15" i="19"/>
  <c r="R17" i="19"/>
  <c r="AA8" i="17"/>
  <c r="I12" i="17"/>
  <c r="G7" i="18"/>
  <c r="W8" i="18"/>
  <c r="E6" i="19"/>
  <c r="G8" i="19"/>
  <c r="C13" i="19"/>
  <c r="L14" i="19"/>
  <c r="AB15" i="19"/>
  <c r="V17" i="19"/>
  <c r="D13" i="16"/>
  <c r="X8" i="18"/>
  <c r="G6" i="19"/>
  <c r="H8" i="19"/>
  <c r="D13" i="19"/>
  <c r="O14" i="19"/>
  <c r="Y17" i="19"/>
  <c r="M2" i="14"/>
  <c r="Y8" i="18"/>
  <c r="C15" i="18"/>
  <c r="C2" i="19"/>
  <c r="H6" i="19"/>
  <c r="J8" i="19"/>
  <c r="E13" i="19"/>
  <c r="Q14" i="19"/>
  <c r="AA17" i="19"/>
  <c r="K8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<sst xmlns="http://schemas.openxmlformats.org/spreadsheetml/2006/main" count="3113" uniqueCount="587">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</sst>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81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KS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8.2714980012647127E-3</v>
      </c>
      <c r="C2" s="7">
        <f>$B2 * IFERROR(VLOOKUP("transport|PM25|Premature mortality", US_national_yearly!$D:$AM, 11, FALSE) / VLOOKUP("transport|PM25|Premature mortality", US_national_yearly!$D:$AM, 10, FALSE), 1)</f>
        <v>8.3740464496072191E-3</v>
      </c>
      <c r="D2" s="7">
        <f>$B2 * IFERROR(VLOOKUP("transport|PM25|Premature mortality", US_national_yearly!$D:$AM, 12, FALSE) / VLOOKUP("transport|PM25|Premature mortality", US_national_yearly!$D:$AM, 10, FALSE), 1)</f>
        <v>8.476594897949722E-3</v>
      </c>
      <c r="E2" s="7">
        <f>$B2 * IFERROR(VLOOKUP("transport|PM25|Premature mortality", US_national_yearly!$D:$AM, 13, FALSE) / VLOOKUP("transport|PM25|Premature mortality", US_national_yearly!$D:$AM, 10, FALSE), 1)</f>
        <v>8.5791433462922267E-3</v>
      </c>
      <c r="F2" s="7">
        <f>$B2 * IFERROR(VLOOKUP("transport|PM25|Premature mortality", US_national_yearly!$D:$AM, 14, FALSE) / VLOOKUP("transport|PM25|Premature mortality", US_national_yearly!$D:$AM, 10, FALSE), 1)</f>
        <v>8.6816917946347313E-3</v>
      </c>
      <c r="G2" s="7">
        <f>$B2 * IFERROR(VLOOKUP("transport|PM25|Premature mortality", US_national_yearly!$D:$AM, 15, FALSE) / VLOOKUP("transport|PM25|Premature mortality", US_national_yearly!$D:$AM, 10, FALSE), 1)</f>
        <v>8.8814041243796688E-3</v>
      </c>
      <c r="H2" s="7">
        <f>$B2 * IFERROR(VLOOKUP("transport|PM25|Premature mortality", US_national_yearly!$D:$AM, 16, FALSE) / VLOOKUP("transport|PM25|Premature mortality", US_national_yearly!$D:$AM, 10, FALSE), 1)</f>
        <v>9.0811164541246062E-3</v>
      </c>
      <c r="I2" s="7">
        <f>$B2 * IFERROR(VLOOKUP("transport|PM25|Premature mortality", US_national_yearly!$D:$AM, 17, FALSE) / VLOOKUP("transport|PM25|Premature mortality", US_national_yearly!$D:$AM, 10, FALSE), 1)</f>
        <v>9.2122959192186497E-3</v>
      </c>
      <c r="J2" s="7">
        <f>$B2 * IFERROR(VLOOKUP("transport|PM25|Premature mortality", US_national_yearly!$D:$AM, 18, FALSE) / VLOOKUP("transport|PM25|Premature mortality", US_national_yearly!$D:$AM, 10, FALSE), 1)</f>
        <v>9.3434753843126966E-3</v>
      </c>
      <c r="K2" s="7">
        <f>$B2 * IFERROR(VLOOKUP("transport|PM25|Premature mortality", US_national_yearly!$D:$AM, 19, FALSE) / VLOOKUP("transport|PM25|Premature mortality", US_national_yearly!$D:$AM, 10, FALSE), 1)</f>
        <v>9.4746548494067419E-3</v>
      </c>
      <c r="L2" s="7">
        <f>$B2 * IFERROR(VLOOKUP("transport|PM25|Premature mortality", US_national_yearly!$D:$AM, 20, FALSE) / VLOOKUP("transport|PM25|Premature mortality", US_national_yearly!$D:$AM, 10, FALSE), 1)</f>
        <v>9.6058343145007889E-3</v>
      </c>
      <c r="M2" s="7">
        <f>$B2 * IFERROR(VLOOKUP("transport|PM25|Premature mortality", US_national_yearly!$D:$AM, 21, FALSE) / VLOOKUP("transport|PM25|Premature mortality", US_national_yearly!$D:$AM, 10, FALSE), 1)</f>
        <v>9.7370137795948341E-3</v>
      </c>
      <c r="N2" s="7">
        <f>$B2 * IFERROR(VLOOKUP("transport|PM25|Premature mortality", US_national_yearly!$D:$AM, 22, FALSE) / VLOOKUP("transport|PM25|Premature mortality", US_national_yearly!$D:$AM, 10, FALSE), 1)</f>
        <v>9.8388662854493134E-3</v>
      </c>
      <c r="O2" s="7">
        <f>$B2 * IFERROR(VLOOKUP("transport|PM25|Premature mortality", US_national_yearly!$D:$AM, 23, FALSE) / VLOOKUP("transport|PM25|Premature mortality", US_national_yearly!$D:$AM, 10, FALSE), 1)</f>
        <v>9.9407187913037945E-3</v>
      </c>
      <c r="P2" s="7">
        <f>$B2 * IFERROR(VLOOKUP("transport|PM25|Premature mortality", US_national_yearly!$D:$AM, 24, FALSE) / VLOOKUP("transport|PM25|Premature mortality", US_national_yearly!$D:$AM, 10, FALSE), 1)</f>
        <v>1.0042571297158274E-2</v>
      </c>
      <c r="Q2" s="7">
        <f>$B2 * IFERROR(VLOOKUP("transport|PM25|Premature mortality", US_national_yearly!$D:$AM, 25, FALSE) / VLOOKUP("transport|PM25|Premature mortality", US_national_yearly!$D:$AM, 10, FALSE), 1)</f>
        <v>1.0144423803012753E-2</v>
      </c>
      <c r="R2" s="7">
        <f>$B2 * IFERROR(VLOOKUP("transport|PM25|Premature mortality", US_national_yearly!$D:$AM, 26, FALSE) / VLOOKUP("transport|PM25|Premature mortality", US_national_yearly!$D:$AM, 10, FALSE), 1)</f>
        <v>1.0246276308867236E-2</v>
      </c>
      <c r="S2" s="7">
        <f>$B2 * IFERROR(VLOOKUP("transport|PM25|Premature mortality", US_national_yearly!$D:$AM, 27, FALSE) / VLOOKUP("transport|PM25|Premature mortality", US_national_yearly!$D:$AM, 10, FALSE), 1)</f>
        <v>1.0300234740330127E-2</v>
      </c>
      <c r="T2" s="7">
        <f>$B2 * IFERROR(VLOOKUP("transport|PM25|Premature mortality", US_national_yearly!$D:$AM, 28, FALSE) / VLOOKUP("transport|PM25|Premature mortality", US_national_yearly!$D:$AM, 10, FALSE), 1)</f>
        <v>1.0354193171793017E-2</v>
      </c>
      <c r="U2" s="7">
        <f>$B2 * IFERROR(VLOOKUP("transport|PM25|Premature mortality", US_national_yearly!$D:$AM, 29, FALSE) / VLOOKUP("transport|PM25|Premature mortality", US_national_yearly!$D:$AM, 10, FALSE), 1)</f>
        <v>1.0408151603255906E-2</v>
      </c>
      <c r="V2" s="7">
        <f>$B2 * IFERROR(VLOOKUP("transport|PM25|Premature mortality", US_national_yearly!$D:$AM, 30, FALSE) / VLOOKUP("transport|PM25|Premature mortality", US_national_yearly!$D:$AM, 10, FALSE), 1)</f>
        <v>1.0462110034718796E-2</v>
      </c>
      <c r="W2" s="7">
        <f>$B2 * IFERROR(VLOOKUP("transport|PM25|Premature mortality", US_national_yearly!$D:$AM, 31, FALSE) / VLOOKUP("transport|PM25|Premature mortality", US_national_yearly!$D:$AM, 10, FALSE), 1)</f>
        <v>1.0516068466181687E-2</v>
      </c>
      <c r="X2" s="7">
        <f>$B2 * IFERROR(VLOOKUP("transport|PM25|Premature mortality", US_national_yearly!$D:$AM, 32, FALSE) / VLOOKUP("transport|PM25|Premature mortality", US_national_yearly!$D:$AM, 10, FALSE), 1)</f>
        <v>1.0525503515320354E-2</v>
      </c>
      <c r="Y2" s="7">
        <f>$B2 * IFERROR(VLOOKUP("transport|PM25|Premature mortality", US_national_yearly!$D:$AM, 33, FALSE) / VLOOKUP("transport|PM25|Premature mortality", US_national_yearly!$D:$AM, 10, FALSE), 1)</f>
        <v>1.0534938564459025E-2</v>
      </c>
      <c r="Z2" s="7">
        <f>$B2 * IFERROR(VLOOKUP("transport|PM25|Premature mortality", US_national_yearly!$D:$AM, 34, FALSE) / VLOOKUP("transport|PM25|Premature mortality", US_national_yearly!$D:$AM, 10, FALSE), 1)</f>
        <v>1.0544373613597694E-2</v>
      </c>
      <c r="AA2" s="7">
        <f>$B2 * IFERROR(VLOOKUP("transport|PM25|Premature mortality", US_national_yearly!$D:$AM, 35, FALSE) / VLOOKUP("transport|PM25|Premature mortality", US_national_yearly!$D:$AM, 10, FALSE), 1)</f>
        <v>1.0553808662736364E-2</v>
      </c>
      <c r="AB2" s="7">
        <f>$B2 * IFERROR(VLOOKUP("transport|PM25|Premature mortality", US_national_yearly!$D:$AM, 36, FALSE) / VLOOKUP("transport|PM25|Premature mortality", US_national_yearly!$D:$AM, 10, FALSE), 1)</f>
        <v>1.0563243711875033E-2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2.5173943819387534E-5</v>
      </c>
      <c r="C3" s="7">
        <f>$B3 * IFERROR(VLOOKUP("transport|PM25|Infant mortality", US_national_yearly!$D:$AM, 11, FALSE) / VLOOKUP("transport|PM25|Infant mortality", US_national_yearly!$D:$AM, 10, FALSE), 1)</f>
        <v>2.4954450000669945E-5</v>
      </c>
      <c r="D3" s="7">
        <f>$B3 * IFERROR(VLOOKUP("transport|PM25|Infant mortality", US_national_yearly!$D:$AM, 12, FALSE) / VLOOKUP("transport|PM25|Infant mortality", US_national_yearly!$D:$AM, 10, FALSE), 1)</f>
        <v>2.4734956181952356E-5</v>
      </c>
      <c r="E3" s="7">
        <f>$B3 * IFERROR(VLOOKUP("transport|PM25|Infant mortality", US_national_yearly!$D:$AM, 13, FALSE) / VLOOKUP("transport|PM25|Infant mortality", US_national_yearly!$D:$AM, 10, FALSE), 1)</f>
        <v>2.4515462363234767E-5</v>
      </c>
      <c r="F3" s="7">
        <f>$B3 * IFERROR(VLOOKUP("transport|PM25|Infant mortality", US_national_yearly!$D:$AM, 14, FALSE) / VLOOKUP("transport|PM25|Infant mortality", US_national_yearly!$D:$AM, 10, FALSE), 1)</f>
        <v>2.4295968544517175E-5</v>
      </c>
      <c r="G3" s="7">
        <f>$B3 * IFERROR(VLOOKUP("transport|PM25|Infant mortality", US_national_yearly!$D:$AM, 15, FALSE) / VLOOKUP("transport|PM25|Infant mortality", US_national_yearly!$D:$AM, 10, FALSE), 1)</f>
        <v>1.615811872098632E-5</v>
      </c>
      <c r="H3" s="7">
        <f>$B3 * IFERROR(VLOOKUP("transport|PM25|Infant mortality", US_national_yearly!$D:$AM, 16, FALSE) / VLOOKUP("transport|PM25|Infant mortality", US_national_yearly!$D:$AM, 10, FALSE), 1)</f>
        <v>8.0202688974554626E-6</v>
      </c>
      <c r="I3" s="7">
        <f>$B3 * IFERROR(VLOOKUP("transport|PM25|Infant mortality", US_national_yearly!$D:$AM, 17, FALSE) / VLOOKUP("transport|PM25|Infant mortality", US_national_yearly!$D:$AM, 10, FALSE), 1)</f>
        <v>7.9678431919078565E-6</v>
      </c>
      <c r="J3" s="7">
        <f>$B3 * IFERROR(VLOOKUP("transport|PM25|Infant mortality", US_national_yearly!$D:$AM, 18, FALSE) / VLOOKUP("transport|PM25|Infant mortality", US_national_yearly!$D:$AM, 10, FALSE), 1)</f>
        <v>7.9154174863602505E-6</v>
      </c>
      <c r="K3" s="7">
        <f>$B3 * IFERROR(VLOOKUP("transport|PM25|Infant mortality", US_national_yearly!$D:$AM, 19, FALSE) / VLOOKUP("transport|PM25|Infant mortality", US_national_yearly!$D:$AM, 10, FALSE), 1)</f>
        <v>7.8629917808126444E-6</v>
      </c>
      <c r="L3" s="7">
        <f>$B3 * IFERROR(VLOOKUP("transport|PM25|Infant mortality", US_national_yearly!$D:$AM, 20, FALSE) / VLOOKUP("transport|PM25|Infant mortality", US_national_yearly!$D:$AM, 10, FALSE), 1)</f>
        <v>7.8105660752650384E-6</v>
      </c>
      <c r="M3" s="7">
        <f>$B3 * IFERROR(VLOOKUP("transport|PM25|Infant mortality", US_national_yearly!$D:$AM, 21, FALSE) / VLOOKUP("transport|PM25|Infant mortality", US_national_yearly!$D:$AM, 10, FALSE), 1)</f>
        <v>7.7581403697174324E-6</v>
      </c>
      <c r="N3" s="7">
        <f>$B3 * IFERROR(VLOOKUP("transport|PM25|Infant mortality", US_national_yearly!$D:$AM, 22, FALSE) / VLOOKUP("transport|PM25|Infant mortality", US_national_yearly!$D:$AM, 10, FALSE), 1)</f>
        <v>7.7252112225410783E-6</v>
      </c>
      <c r="O3" s="7">
        <f>$B3 * IFERROR(VLOOKUP("transport|PM25|Infant mortality", US_national_yearly!$D:$AM, 23, FALSE) / VLOOKUP("transport|PM25|Infant mortality", US_national_yearly!$D:$AM, 10, FALSE), 1)</f>
        <v>7.6922820753647259E-6</v>
      </c>
      <c r="P3" s="7">
        <f>$B3 * IFERROR(VLOOKUP("transport|PM25|Infant mortality", US_national_yearly!$D:$AM, 24, FALSE) / VLOOKUP("transport|PM25|Infant mortality", US_national_yearly!$D:$AM, 10, FALSE), 1)</f>
        <v>7.6593529281883702E-6</v>
      </c>
      <c r="Q3" s="7">
        <f>$B3 * IFERROR(VLOOKUP("transport|PM25|Infant mortality", US_national_yearly!$D:$AM, 25, FALSE) / VLOOKUP("transport|PM25|Infant mortality", US_national_yearly!$D:$AM, 10, FALSE), 1)</f>
        <v>7.6264237810120161E-6</v>
      </c>
      <c r="R3" s="7">
        <f>$B3 * IFERROR(VLOOKUP("transport|PM25|Infant mortality", US_national_yearly!$D:$AM, 26, FALSE) / VLOOKUP("transport|PM25|Infant mortality", US_national_yearly!$D:$AM, 10, FALSE), 1)</f>
        <v>7.5934946338356612E-6</v>
      </c>
      <c r="S3" s="7">
        <f>$B3 * IFERROR(VLOOKUP("transport|PM25|Infant mortality", US_national_yearly!$D:$AM, 27, FALSE) / VLOOKUP("transport|PM25|Infant mortality", US_national_yearly!$D:$AM, 10, FALSE), 1)</f>
        <v>7.55244777859128E-6</v>
      </c>
      <c r="T3" s="7">
        <f>$B3 * IFERROR(VLOOKUP("transport|PM25|Infant mortality", US_national_yearly!$D:$AM, 28, FALSE) / VLOOKUP("transport|PM25|Infant mortality", US_national_yearly!$D:$AM, 10, FALSE), 1)</f>
        <v>7.511400923346898E-6</v>
      </c>
      <c r="U3" s="7">
        <f>$B3 * IFERROR(VLOOKUP("transport|PM25|Infant mortality", US_national_yearly!$D:$AM, 29, FALSE) / VLOOKUP("transport|PM25|Infant mortality", US_national_yearly!$D:$AM, 10, FALSE), 1)</f>
        <v>7.4703540681025167E-6</v>
      </c>
      <c r="V3" s="7">
        <f>$B3 * IFERROR(VLOOKUP("transport|PM25|Infant mortality", US_national_yearly!$D:$AM, 30, FALSE) / VLOOKUP("transport|PM25|Infant mortality", US_national_yearly!$D:$AM, 10, FALSE), 1)</f>
        <v>7.4293072128581355E-6</v>
      </c>
      <c r="W3" s="7">
        <f>$B3 * IFERROR(VLOOKUP("transport|PM25|Infant mortality", US_national_yearly!$D:$AM, 31, FALSE) / VLOOKUP("transport|PM25|Infant mortality", US_national_yearly!$D:$AM, 10, FALSE), 1)</f>
        <v>7.3882603576137526E-6</v>
      </c>
      <c r="X3" s="7">
        <f>$B3 * IFERROR(VLOOKUP("transport|PM25|Infant mortality", US_national_yearly!$D:$AM, 32, FALSE) / VLOOKUP("transport|PM25|Infant mortality", US_national_yearly!$D:$AM, 10, FALSE), 1)</f>
        <v>7.3440066886118517E-6</v>
      </c>
      <c r="Y3" s="7">
        <f>$B3 * IFERROR(VLOOKUP("transport|PM25|Infant mortality", US_national_yearly!$D:$AM, 33, FALSE) / VLOOKUP("transport|PM25|Infant mortality", US_national_yearly!$D:$AM, 10, FALSE), 1)</f>
        <v>7.2997530196099483E-6</v>
      </c>
      <c r="Z3" s="7">
        <f>$B3 * IFERROR(VLOOKUP("transport|PM25|Infant mortality", US_national_yearly!$D:$AM, 34, FALSE) / VLOOKUP("transport|PM25|Infant mortality", US_national_yearly!$D:$AM, 10, FALSE), 1)</f>
        <v>7.2554993506080475E-6</v>
      </c>
      <c r="AA3" s="7">
        <f>$B3 * IFERROR(VLOOKUP("transport|PM25|Infant mortality", US_national_yearly!$D:$AM, 35, FALSE) / VLOOKUP("transport|PM25|Infant mortality", US_national_yearly!$D:$AM, 10, FALSE), 1)</f>
        <v>7.2112456816061458E-6</v>
      </c>
      <c r="AB3" s="7">
        <f>$B3 * IFERROR(VLOOKUP("transport|PM25|Infant mortality", US_national_yearly!$D:$AM, 36, FALSE) / VLOOKUP("transport|PM25|Infant mortality", US_national_yearly!$D:$AM, 10, FALSE), 1)</f>
        <v>7.1669920126042449E-6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2.4995777232648755E-2</v>
      </c>
      <c r="C6" s="7">
        <f>$B6 * IFERROR(VLOOKUP("transport|PM25|Asthma symptoms cough", US_national_yearly!$D:$AM, 11, FALSE) / VLOOKUP("transport|PM25|Asthma symptoms cough", US_national_yearly!$D:$AM, 10, FALSE), 1)</f>
        <v>2.4995777232648755E-2</v>
      </c>
      <c r="D6" s="7">
        <f>$B6 * IFERROR(VLOOKUP("transport|PM25|Asthma symptoms cough", US_national_yearly!$D:$AM, 12, FALSE) / VLOOKUP("transport|PM25|Asthma symptoms cough", US_national_yearly!$D:$AM, 10, FALSE), 1)</f>
        <v>2.4995777232648755E-2</v>
      </c>
      <c r="E6" s="7">
        <f>$B6 * IFERROR(VLOOKUP("transport|PM25|Asthma symptoms cough", US_national_yearly!$D:$AM, 13, FALSE) / VLOOKUP("transport|PM25|Asthma symptoms cough", US_national_yearly!$D:$AM, 10, FALSE), 1)</f>
        <v>2.4995777232648755E-2</v>
      </c>
      <c r="F6" s="7">
        <f>$B6 * IFERROR(VLOOKUP("transport|PM25|Asthma symptoms cough", US_national_yearly!$D:$AM, 14, FALSE) / VLOOKUP("transport|PM25|Asthma symptoms cough", US_national_yearly!$D:$AM, 10, FALSE), 1)</f>
        <v>2.4995777232648755E-2</v>
      </c>
      <c r="G6" s="7">
        <f>$B6 * IFERROR(VLOOKUP("transport|PM25|Asthma symptoms cough", US_national_yearly!$D:$AM, 15, FALSE) / VLOOKUP("transport|PM25|Asthma symptoms cough", US_national_yearly!$D:$AM, 10, FALSE), 1)</f>
        <v>2.4995777232648755E-2</v>
      </c>
      <c r="H6" s="7">
        <f>$B6 * IFERROR(VLOOKUP("transport|PM25|Asthma symptoms cough", US_national_yearly!$D:$AM, 16, FALSE) / VLOOKUP("transport|PM25|Asthma symptoms cough", US_national_yearly!$D:$AM, 10, FALSE), 1)</f>
        <v>2.4995777232648755E-2</v>
      </c>
      <c r="I6" s="7">
        <f>$B6 * IFERROR(VLOOKUP("transport|PM25|Asthma symptoms cough", US_national_yearly!$D:$AM, 17, FALSE) / VLOOKUP("transport|PM25|Asthma symptoms cough", US_national_yearly!$D:$AM, 10, FALSE), 1)</f>
        <v>2.4995777232648755E-2</v>
      </c>
      <c r="J6" s="7">
        <f>$B6 * IFERROR(VLOOKUP("transport|PM25|Asthma symptoms cough", US_national_yearly!$D:$AM, 18, FALSE) / VLOOKUP("transport|PM25|Asthma symptoms cough", US_national_yearly!$D:$AM, 10, FALSE), 1)</f>
        <v>2.4995777232648755E-2</v>
      </c>
      <c r="K6" s="7">
        <f>$B6 * IFERROR(VLOOKUP("transport|PM25|Asthma symptoms cough", US_national_yearly!$D:$AM, 19, FALSE) / VLOOKUP("transport|PM25|Asthma symptoms cough", US_national_yearly!$D:$AM, 10, FALSE), 1)</f>
        <v>2.4995777232648755E-2</v>
      </c>
      <c r="L6" s="7">
        <f>$B6 * IFERROR(VLOOKUP("transport|PM25|Asthma symptoms cough", US_national_yearly!$D:$AM, 20, FALSE) / VLOOKUP("transport|PM25|Asthma symptoms cough", US_national_yearly!$D:$AM, 10, FALSE), 1)</f>
        <v>2.4995777232648755E-2</v>
      </c>
      <c r="M6" s="7">
        <f>$B6 * IFERROR(VLOOKUP("transport|PM25|Asthma symptoms cough", US_national_yearly!$D:$AM, 21, FALSE) / VLOOKUP("transport|PM25|Asthma symptoms cough", US_national_yearly!$D:$AM, 10, FALSE), 1)</f>
        <v>2.4995777232648755E-2</v>
      </c>
      <c r="N6" s="7">
        <f>$B6 * IFERROR(VLOOKUP("transport|PM25|Asthma symptoms cough", US_national_yearly!$D:$AM, 22, FALSE) / VLOOKUP("transport|PM25|Asthma symptoms cough", US_national_yearly!$D:$AM, 10, FALSE), 1)</f>
        <v>2.4995777232648755E-2</v>
      </c>
      <c r="O6" s="7">
        <f>$B6 * IFERROR(VLOOKUP("transport|PM25|Asthma symptoms cough", US_national_yearly!$D:$AM, 23, FALSE) / VLOOKUP("transport|PM25|Asthma symptoms cough", US_national_yearly!$D:$AM, 10, FALSE), 1)</f>
        <v>2.4995777232648755E-2</v>
      </c>
      <c r="P6" s="7">
        <f>$B6 * IFERROR(VLOOKUP("transport|PM25|Asthma symptoms cough", US_national_yearly!$D:$AM, 24, FALSE) / VLOOKUP("transport|PM25|Asthma symptoms cough", US_national_yearly!$D:$AM, 10, FALSE), 1)</f>
        <v>2.4995777232648755E-2</v>
      </c>
      <c r="Q6" s="7">
        <f>$B6 * IFERROR(VLOOKUP("transport|PM25|Asthma symptoms cough", US_national_yearly!$D:$AM, 25, FALSE) / VLOOKUP("transport|PM25|Asthma symptoms cough", US_national_yearly!$D:$AM, 10, FALSE), 1)</f>
        <v>2.4995777232648755E-2</v>
      </c>
      <c r="R6" s="7">
        <f>$B6 * IFERROR(VLOOKUP("transport|PM25|Asthma symptoms cough", US_national_yearly!$D:$AM, 26, FALSE) / VLOOKUP("transport|PM25|Asthma symptoms cough", US_national_yearly!$D:$AM, 10, FALSE), 1)</f>
        <v>2.4995777232648755E-2</v>
      </c>
      <c r="S6" s="7">
        <f>$B6 * IFERROR(VLOOKUP("transport|PM25|Asthma symptoms cough", US_national_yearly!$D:$AM, 27, FALSE) / VLOOKUP("transport|PM25|Asthma symptoms cough", US_national_yearly!$D:$AM, 10, FALSE), 1)</f>
        <v>2.4995777232648755E-2</v>
      </c>
      <c r="T6" s="7">
        <f>$B6 * IFERROR(VLOOKUP("transport|PM25|Asthma symptoms cough", US_national_yearly!$D:$AM, 28, FALSE) / VLOOKUP("transport|PM25|Asthma symptoms cough", US_national_yearly!$D:$AM, 10, FALSE), 1)</f>
        <v>2.4995777232648755E-2</v>
      </c>
      <c r="U6" s="7">
        <f>$B6 * IFERROR(VLOOKUP("transport|PM25|Asthma symptoms cough", US_national_yearly!$D:$AM, 29, FALSE) / VLOOKUP("transport|PM25|Asthma symptoms cough", US_national_yearly!$D:$AM, 10, FALSE), 1)</f>
        <v>2.4995777232648755E-2</v>
      </c>
      <c r="V6" s="7">
        <f>$B6 * IFERROR(VLOOKUP("transport|PM25|Asthma symptoms cough", US_national_yearly!$D:$AM, 30, FALSE) / VLOOKUP("transport|PM25|Asthma symptoms cough", US_national_yearly!$D:$AM, 10, FALSE), 1)</f>
        <v>2.4995777232648755E-2</v>
      </c>
      <c r="W6" s="7">
        <f>$B6 * IFERROR(VLOOKUP("transport|PM25|Asthma symptoms cough", US_national_yearly!$D:$AM, 31, FALSE) / VLOOKUP("transport|PM25|Asthma symptoms cough", US_national_yearly!$D:$AM, 10, FALSE), 1)</f>
        <v>2.4995777232648755E-2</v>
      </c>
      <c r="X6" s="7">
        <f>$B6 * IFERROR(VLOOKUP("transport|PM25|Asthma symptoms cough", US_national_yearly!$D:$AM, 32, FALSE) / VLOOKUP("transport|PM25|Asthma symptoms cough", US_national_yearly!$D:$AM, 10, FALSE), 1)</f>
        <v>2.4995777232648755E-2</v>
      </c>
      <c r="Y6" s="7">
        <f>$B6 * IFERROR(VLOOKUP("transport|PM25|Asthma symptoms cough", US_national_yearly!$D:$AM, 33, FALSE) / VLOOKUP("transport|PM25|Asthma symptoms cough", US_national_yearly!$D:$AM, 10, FALSE), 1)</f>
        <v>2.4995777232648755E-2</v>
      </c>
      <c r="Z6" s="7">
        <f>$B6 * IFERROR(VLOOKUP("transport|PM25|Asthma symptoms cough", US_national_yearly!$D:$AM, 34, FALSE) / VLOOKUP("transport|PM25|Asthma symptoms cough", US_national_yearly!$D:$AM, 10, FALSE), 1)</f>
        <v>2.4995777232648755E-2</v>
      </c>
      <c r="AA6" s="7">
        <f>$B6 * IFERROR(VLOOKUP("transport|PM25|Asthma symptoms cough", US_national_yearly!$D:$AM, 35, FALSE) / VLOOKUP("transport|PM25|Asthma symptoms cough", US_national_yearly!$D:$AM, 10, FALSE), 1)</f>
        <v>2.4995777232648755E-2</v>
      </c>
      <c r="AB6" s="7">
        <f>$B6 * IFERROR(VLOOKUP("transport|PM25|Asthma symptoms cough", US_national_yearly!$D:$AM, 36, FALSE) / VLOOKUP("transport|PM25|Asthma symptoms cough", US_national_yearly!$D:$AM, 10, FALSE), 1)</f>
        <v>2.4995777232648755E-2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3.3659993101468257E-2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3.3659993101468257E-2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3.3659993101468257E-2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3.3659993101468257E-2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3.3659993101468257E-2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3.3659993101468257E-2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3.3659993101468257E-2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3.3659993101468257E-2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3.3659993101468257E-2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3.3659993101468257E-2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3.3659993101468257E-2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3.3659993101468257E-2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3.3659993101468257E-2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3.3659993101468257E-2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3.3659993101468257E-2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3.3659993101468257E-2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3.3659993101468257E-2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3.3659993101468257E-2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3.3659993101468257E-2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3.3659993101468257E-2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3.3659993101468257E-2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3.3659993101468257E-2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3.3659993101468257E-2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3.3659993101468257E-2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3.3659993101468257E-2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3.3659993101468257E-2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3.3659993101468257E-2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5.1428362398289344E-2</v>
      </c>
      <c r="C8" s="7">
        <f>$B8 * IFERROR(VLOOKUP("transport|PM25|Asthma symptoms wheeze", US_national_yearly!$D:$AM, 11, FALSE) / VLOOKUP("transport|PM25|Asthma symptoms wheeze", US_national_yearly!$D:$AM, 10, FALSE), 1)</f>
        <v>5.1428362398289344E-2</v>
      </c>
      <c r="D8" s="7">
        <f>$B8 * IFERROR(VLOOKUP("transport|PM25|Asthma symptoms wheeze", US_national_yearly!$D:$AM, 12, FALSE) / VLOOKUP("transport|PM25|Asthma symptoms wheeze", US_national_yearly!$D:$AM, 10, FALSE), 1)</f>
        <v>5.1428362398289344E-2</v>
      </c>
      <c r="E8" s="7">
        <f>$B8 * IFERROR(VLOOKUP("transport|PM25|Asthma symptoms wheeze", US_national_yearly!$D:$AM, 13, FALSE) / VLOOKUP("transport|PM25|Asthma symptoms wheeze", US_national_yearly!$D:$AM, 10, FALSE), 1)</f>
        <v>5.1428362398289344E-2</v>
      </c>
      <c r="F8" s="7">
        <f>$B8 * IFERROR(VLOOKUP("transport|PM25|Asthma symptoms wheeze", US_national_yearly!$D:$AM, 14, FALSE) / VLOOKUP("transport|PM25|Asthma symptoms wheeze", US_national_yearly!$D:$AM, 10, FALSE), 1)</f>
        <v>5.1428362398289344E-2</v>
      </c>
      <c r="G8" s="7">
        <f>$B8 * IFERROR(VLOOKUP("transport|PM25|Asthma symptoms wheeze", US_national_yearly!$D:$AM, 15, FALSE) / VLOOKUP("transport|PM25|Asthma symptoms wheeze", US_national_yearly!$D:$AM, 10, FALSE), 1)</f>
        <v>5.1428362398289344E-2</v>
      </c>
      <c r="H8" s="7">
        <f>$B8 * IFERROR(VLOOKUP("transport|PM25|Asthma symptoms wheeze", US_national_yearly!$D:$AM, 16, FALSE) / VLOOKUP("transport|PM25|Asthma symptoms wheeze", US_national_yearly!$D:$AM, 10, FALSE), 1)</f>
        <v>5.1428362398289344E-2</v>
      </c>
      <c r="I8" s="7">
        <f>$B8 * IFERROR(VLOOKUP("transport|PM25|Asthma symptoms wheeze", US_national_yearly!$D:$AM, 17, FALSE) / VLOOKUP("transport|PM25|Asthma symptoms wheeze", US_national_yearly!$D:$AM, 10, FALSE), 1)</f>
        <v>5.1428362398289344E-2</v>
      </c>
      <c r="J8" s="7">
        <f>$B8 * IFERROR(VLOOKUP("transport|PM25|Asthma symptoms wheeze", US_national_yearly!$D:$AM, 18, FALSE) / VLOOKUP("transport|PM25|Asthma symptoms wheeze", US_national_yearly!$D:$AM, 10, FALSE), 1)</f>
        <v>5.1428362398289344E-2</v>
      </c>
      <c r="K8" s="7">
        <f>$B8 * IFERROR(VLOOKUP("transport|PM25|Asthma symptoms wheeze", US_national_yearly!$D:$AM, 19, FALSE) / VLOOKUP("transport|PM25|Asthma symptoms wheeze", US_national_yearly!$D:$AM, 10, FALSE), 1)</f>
        <v>5.1428362398289344E-2</v>
      </c>
      <c r="L8" s="7">
        <f>$B8 * IFERROR(VLOOKUP("transport|PM25|Asthma symptoms wheeze", US_national_yearly!$D:$AM, 20, FALSE) / VLOOKUP("transport|PM25|Asthma symptoms wheeze", US_national_yearly!$D:$AM, 10, FALSE), 1)</f>
        <v>5.1428362398289344E-2</v>
      </c>
      <c r="M8" s="7">
        <f>$B8 * IFERROR(VLOOKUP("transport|PM25|Asthma symptoms wheeze", US_national_yearly!$D:$AM, 21, FALSE) / VLOOKUP("transport|PM25|Asthma symptoms wheeze", US_national_yearly!$D:$AM, 10, FALSE), 1)</f>
        <v>5.1428362398289344E-2</v>
      </c>
      <c r="N8" s="7">
        <f>$B8 * IFERROR(VLOOKUP("transport|PM25|Asthma symptoms wheeze", US_national_yearly!$D:$AM, 22, FALSE) / VLOOKUP("transport|PM25|Asthma symptoms wheeze", US_national_yearly!$D:$AM, 10, FALSE), 1)</f>
        <v>5.1428362398289344E-2</v>
      </c>
      <c r="O8" s="7">
        <f>$B8 * IFERROR(VLOOKUP("transport|PM25|Asthma symptoms wheeze", US_national_yearly!$D:$AM, 23, FALSE) / VLOOKUP("transport|PM25|Asthma symptoms wheeze", US_national_yearly!$D:$AM, 10, FALSE), 1)</f>
        <v>5.1428362398289344E-2</v>
      </c>
      <c r="P8" s="7">
        <f>$B8 * IFERROR(VLOOKUP("transport|PM25|Asthma symptoms wheeze", US_national_yearly!$D:$AM, 24, FALSE) / VLOOKUP("transport|PM25|Asthma symptoms wheeze", US_national_yearly!$D:$AM, 10, FALSE), 1)</f>
        <v>5.1428362398289344E-2</v>
      </c>
      <c r="Q8" s="7">
        <f>$B8 * IFERROR(VLOOKUP("transport|PM25|Asthma symptoms wheeze", US_national_yearly!$D:$AM, 25, FALSE) / VLOOKUP("transport|PM25|Asthma symptoms wheeze", US_national_yearly!$D:$AM, 10, FALSE), 1)</f>
        <v>5.1428362398289344E-2</v>
      </c>
      <c r="R8" s="7">
        <f>$B8 * IFERROR(VLOOKUP("transport|PM25|Asthma symptoms wheeze", US_national_yearly!$D:$AM, 26, FALSE) / VLOOKUP("transport|PM25|Asthma symptoms wheeze", US_national_yearly!$D:$AM, 10, FALSE), 1)</f>
        <v>5.1428362398289344E-2</v>
      </c>
      <c r="S8" s="7">
        <f>$B8 * IFERROR(VLOOKUP("transport|PM25|Asthma symptoms wheeze", US_national_yearly!$D:$AM, 27, FALSE) / VLOOKUP("transport|PM25|Asthma symptoms wheeze", US_national_yearly!$D:$AM, 10, FALSE), 1)</f>
        <v>5.1428362398289344E-2</v>
      </c>
      <c r="T8" s="7">
        <f>$B8 * IFERROR(VLOOKUP("transport|PM25|Asthma symptoms wheeze", US_national_yearly!$D:$AM, 28, FALSE) / VLOOKUP("transport|PM25|Asthma symptoms wheeze", US_national_yearly!$D:$AM, 10, FALSE), 1)</f>
        <v>5.1428362398289344E-2</v>
      </c>
      <c r="U8" s="7">
        <f>$B8 * IFERROR(VLOOKUP("transport|PM25|Asthma symptoms wheeze", US_national_yearly!$D:$AM, 29, FALSE) / VLOOKUP("transport|PM25|Asthma symptoms wheeze", US_national_yearly!$D:$AM, 10, FALSE), 1)</f>
        <v>5.1428362398289344E-2</v>
      </c>
      <c r="V8" s="7">
        <f>$B8 * IFERROR(VLOOKUP("transport|PM25|Asthma symptoms wheeze", US_national_yearly!$D:$AM, 30, FALSE) / VLOOKUP("transport|PM25|Asthma symptoms wheeze", US_national_yearly!$D:$AM, 10, FALSE), 1)</f>
        <v>5.1428362398289344E-2</v>
      </c>
      <c r="W8" s="7">
        <f>$B8 * IFERROR(VLOOKUP("transport|PM25|Asthma symptoms wheeze", US_national_yearly!$D:$AM, 31, FALSE) / VLOOKUP("transport|PM25|Asthma symptoms wheeze", US_national_yearly!$D:$AM, 10, FALSE), 1)</f>
        <v>5.1428362398289344E-2</v>
      </c>
      <c r="X8" s="7">
        <f>$B8 * IFERROR(VLOOKUP("transport|PM25|Asthma symptoms wheeze", US_national_yearly!$D:$AM, 32, FALSE) / VLOOKUP("transport|PM25|Asthma symptoms wheeze", US_national_yearly!$D:$AM, 10, FALSE), 1)</f>
        <v>5.1428362398289344E-2</v>
      </c>
      <c r="Y8" s="7">
        <f>$B8 * IFERROR(VLOOKUP("transport|PM25|Asthma symptoms wheeze", US_national_yearly!$D:$AM, 33, FALSE) / VLOOKUP("transport|PM25|Asthma symptoms wheeze", US_national_yearly!$D:$AM, 10, FALSE), 1)</f>
        <v>5.1428362398289344E-2</v>
      </c>
      <c r="Z8" s="7">
        <f>$B8 * IFERROR(VLOOKUP("transport|PM25|Asthma symptoms wheeze", US_national_yearly!$D:$AM, 34, FALSE) / VLOOKUP("transport|PM25|Asthma symptoms wheeze", US_national_yearly!$D:$AM, 10, FALSE), 1)</f>
        <v>5.1428362398289344E-2</v>
      </c>
      <c r="AA8" s="7">
        <f>$B8 * IFERROR(VLOOKUP("transport|PM25|Asthma symptoms wheeze", US_national_yearly!$D:$AM, 35, FALSE) / VLOOKUP("transport|PM25|Asthma symptoms wheeze", US_national_yearly!$D:$AM, 10, FALSE), 1)</f>
        <v>5.1428362398289344E-2</v>
      </c>
      <c r="AB8" s="7">
        <f>$B8 * IFERROR(VLOOKUP("transport|PM25|Asthma symptoms wheeze", US_national_yearly!$D:$AM, 36, FALSE) / VLOOKUP("transport|PM25|Asthma symptoms wheeze", US_national_yearly!$D:$AM, 10, FALSE), 1)</f>
        <v>5.1428362398289344E-2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6.4562911733216806E-4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6.4932960320741168E-4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6.5303008908265507E-4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6.5673057495789857E-4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6.6043106083314208E-4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6.6442774342365021E-4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6.6842442601415834E-4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6.7224310438138092E-4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6.7606178274860383E-4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6.7988046111582662E-4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6.8369913948304953E-4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6.8751781785027222E-4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6.9025859475044715E-4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6.9299937165062209E-4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6.957401485507968E-4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6.9848092545097163E-4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7.0122170235114667E-4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7.0383128310644771E-4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7.0644086386174886E-4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7.0905044461704991E-4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7.1166002537235095E-4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7.1426960612765199E-4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7.1678005610250782E-4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7.1929050607736343E-4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7.2180095605221914E-4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7.2431140602707464E-4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7.2682185600193036E-4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2.7768515196229743E-3</v>
      </c>
      <c r="C13" s="7">
        <f>$B13 * IFERROR(VLOOKUP("transport|PM25|Non-fatal heart attacks", US_national_yearly!$D:$AM, 11, FALSE) / VLOOKUP("transport|PM25|Non-fatal heart attacks", US_national_yearly!$D:$AM, 10, FALSE), 1)</f>
        <v>2.8575819622189747E-3</v>
      </c>
      <c r="D13" s="7">
        <f>$B13 * IFERROR(VLOOKUP("transport|PM25|Non-fatal heart attacks", US_national_yearly!$D:$AM, 12, FALSE) / VLOOKUP("transport|PM25|Non-fatal heart attacks", US_national_yearly!$D:$AM, 10, FALSE), 1)</f>
        <v>2.9383124048149752E-3</v>
      </c>
      <c r="E13" s="7">
        <f>$B13 * IFERROR(VLOOKUP("transport|PM25|Non-fatal heart attacks", US_national_yearly!$D:$AM, 13, FALSE) / VLOOKUP("transport|PM25|Non-fatal heart attacks", US_national_yearly!$D:$AM, 10, FALSE), 1)</f>
        <v>3.0190428474109752E-3</v>
      </c>
      <c r="F13" s="7">
        <f>$B13 * IFERROR(VLOOKUP("transport|PM25|Non-fatal heart attacks", US_national_yearly!$D:$AM, 14, FALSE) / VLOOKUP("transport|PM25|Non-fatal heart attacks", US_national_yearly!$D:$AM, 10, FALSE), 1)</f>
        <v>3.0997732900069764E-3</v>
      </c>
      <c r="G13" s="7">
        <f>$B13 * IFERROR(VLOOKUP("transport|PM25|Non-fatal heart attacks", US_national_yearly!$D:$AM, 15, FALSE) / VLOOKUP("transport|PM25|Non-fatal heart attacks", US_national_yearly!$D:$AM, 10, FALSE), 1)</f>
        <v>3.1759072010546399E-3</v>
      </c>
      <c r="H13" s="7">
        <f>$B13 * IFERROR(VLOOKUP("transport|PM25|Non-fatal heart attacks", US_national_yearly!$D:$AM, 16, FALSE) / VLOOKUP("transport|PM25|Non-fatal heart attacks", US_national_yearly!$D:$AM, 10, FALSE), 1)</f>
        <v>3.2520411121023029E-3</v>
      </c>
      <c r="I13" s="7">
        <f>$B13 * IFERROR(VLOOKUP("transport|PM25|Non-fatal heart attacks", US_national_yearly!$D:$AM, 17, FALSE) / VLOOKUP("transport|PM25|Non-fatal heart attacks", US_national_yearly!$D:$AM, 10, FALSE), 1)</f>
        <v>3.3132274426446282E-3</v>
      </c>
      <c r="J13" s="7">
        <f>$B13 * IFERROR(VLOOKUP("transport|PM25|Non-fatal heart attacks", US_national_yearly!$D:$AM, 18, FALSE) / VLOOKUP("transport|PM25|Non-fatal heart attacks", US_national_yearly!$D:$AM, 10, FALSE), 1)</f>
        <v>3.374413773186953E-3</v>
      </c>
      <c r="K13" s="7">
        <f>$B13 * IFERROR(VLOOKUP("transport|PM25|Non-fatal heart attacks", US_national_yearly!$D:$AM, 19, FALSE) / VLOOKUP("transport|PM25|Non-fatal heart attacks", US_national_yearly!$D:$AM, 10, FALSE), 1)</f>
        <v>3.4356001037292787E-3</v>
      </c>
      <c r="L13" s="7">
        <f>$B13 * IFERROR(VLOOKUP("transport|PM25|Non-fatal heart attacks", US_national_yearly!$D:$AM, 20, FALSE) / VLOOKUP("transport|PM25|Non-fatal heart attacks", US_national_yearly!$D:$AM, 10, FALSE), 1)</f>
        <v>3.4967864342716035E-3</v>
      </c>
      <c r="M13" s="7">
        <f>$B13 * IFERROR(VLOOKUP("transport|PM25|Non-fatal heart attacks", US_national_yearly!$D:$AM, 21, FALSE) / VLOOKUP("transport|PM25|Non-fatal heart attacks", US_national_yearly!$D:$AM, 10, FALSE), 1)</f>
        <v>3.5579727648139292E-3</v>
      </c>
      <c r="N13" s="7">
        <f>$B13 * IFERROR(VLOOKUP("transport|PM25|Non-fatal heart attacks", US_national_yearly!$D:$AM, 22, FALSE) / VLOOKUP("transport|PM25|Non-fatal heart attacks", US_national_yearly!$D:$AM, 10, FALSE), 1)</f>
        <v>3.5974319061401697E-3</v>
      </c>
      <c r="O13" s="7">
        <f>$B13 * IFERROR(VLOOKUP("transport|PM25|Non-fatal heart attacks", US_national_yearly!$D:$AM, 23, FALSE) / VLOOKUP("transport|PM25|Non-fatal heart attacks", US_national_yearly!$D:$AM, 10, FALSE), 1)</f>
        <v>3.6368910474664112E-3</v>
      </c>
      <c r="P13" s="7">
        <f>$B13 * IFERROR(VLOOKUP("transport|PM25|Non-fatal heart attacks", US_national_yearly!$D:$AM, 24, FALSE) / VLOOKUP("transport|PM25|Non-fatal heart attacks", US_national_yearly!$D:$AM, 10, FALSE), 1)</f>
        <v>3.6763501887926522E-3</v>
      </c>
      <c r="Q13" s="7">
        <f>$B13 * IFERROR(VLOOKUP("transport|PM25|Non-fatal heart attacks", US_national_yearly!$D:$AM, 25, FALSE) / VLOOKUP("transport|PM25|Non-fatal heart attacks", US_national_yearly!$D:$AM, 10, FALSE), 1)</f>
        <v>3.7158093301188928E-3</v>
      </c>
      <c r="R13" s="7">
        <f>$B13 * IFERROR(VLOOKUP("transport|PM25|Non-fatal heart attacks", US_national_yearly!$D:$AM, 26, FALSE) / VLOOKUP("transport|PM25|Non-fatal heart attacks", US_national_yearly!$D:$AM, 10, FALSE), 1)</f>
        <v>3.7552684714451342E-3</v>
      </c>
      <c r="S13" s="7">
        <f>$B13 * IFERROR(VLOOKUP("transport|PM25|Non-fatal heart attacks", US_national_yearly!$D:$AM, 27, FALSE) / VLOOKUP("transport|PM25|Non-fatal heart attacks", US_national_yearly!$D:$AM, 10, FALSE), 1)</f>
        <v>3.7760487826065964E-3</v>
      </c>
      <c r="T13" s="7">
        <f>$B13 * IFERROR(VLOOKUP("transport|PM25|Non-fatal heart attacks", US_national_yearly!$D:$AM, 28, FALSE) / VLOOKUP("transport|PM25|Non-fatal heart attacks", US_national_yearly!$D:$AM, 10, FALSE), 1)</f>
        <v>3.79682909376806E-3</v>
      </c>
      <c r="U13" s="7">
        <f>$B13 * IFERROR(VLOOKUP("transport|PM25|Non-fatal heart attacks", US_national_yearly!$D:$AM, 29, FALSE) / VLOOKUP("transport|PM25|Non-fatal heart attacks", US_national_yearly!$D:$AM, 10, FALSE), 1)</f>
        <v>3.817609404929524E-3</v>
      </c>
      <c r="V13" s="7">
        <f>$B13 * IFERROR(VLOOKUP("transport|PM25|Non-fatal heart attacks", US_national_yearly!$D:$AM, 30, FALSE) / VLOOKUP("transport|PM25|Non-fatal heart attacks", US_national_yearly!$D:$AM, 10, FALSE), 1)</f>
        <v>3.8383897160909871E-3</v>
      </c>
      <c r="W13" s="7">
        <f>$B13 * IFERROR(VLOOKUP("transport|PM25|Non-fatal heart attacks", US_national_yearly!$D:$AM, 31, FALSE) / VLOOKUP("transport|PM25|Non-fatal heart attacks", US_national_yearly!$D:$AM, 10, FALSE), 1)</f>
        <v>3.8591700272524502E-3</v>
      </c>
      <c r="X13" s="7">
        <f>$B13 * IFERROR(VLOOKUP("transport|PM25|Non-fatal heart attacks", US_national_yearly!$D:$AM, 32, FALSE) / VLOOKUP("transport|PM25|Non-fatal heart attacks", US_national_yearly!$D:$AM, 10, FALSE), 1)</f>
        <v>3.8749452881952405E-3</v>
      </c>
      <c r="Y13" s="7">
        <f>$B13 * IFERROR(VLOOKUP("transport|PM25|Non-fatal heart attacks", US_national_yearly!$D:$AM, 33, FALSE) / VLOOKUP("transport|PM25|Non-fatal heart attacks", US_national_yearly!$D:$AM, 10, FALSE), 1)</f>
        <v>3.8907205491380313E-3</v>
      </c>
      <c r="Z13" s="7">
        <f>$B13 * IFERROR(VLOOKUP("transport|PM25|Non-fatal heart attacks", US_national_yearly!$D:$AM, 34, FALSE) / VLOOKUP("transport|PM25|Non-fatal heart attacks", US_national_yearly!$D:$AM, 10, FALSE), 1)</f>
        <v>3.9064958100808221E-3</v>
      </c>
      <c r="AA13" s="7">
        <f>$B13 * IFERROR(VLOOKUP("transport|PM25|Non-fatal heart attacks", US_national_yearly!$D:$AM, 35, FALSE) / VLOOKUP("transport|PM25|Non-fatal heart attacks", US_national_yearly!$D:$AM, 10, FALSE), 1)</f>
        <v>3.9222710710236129E-3</v>
      </c>
      <c r="AB13" s="7">
        <f>$B13 * IFERROR(VLOOKUP("transport|PM25|Non-fatal heart attacks", US_national_yearly!$D:$AM, 36, FALSE) / VLOOKUP("transport|PM25|Non-fatal heart attacks", US_national_yearly!$D:$AM, 10, FALSE), 1)</f>
        <v>3.9380463319664029E-3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2.7878181737069023</v>
      </c>
      <c r="C14" s="7">
        <f>$B14 * IFERROR(VLOOKUP("transport|PM25|Minor restricted activity days", US_national_yearly!$D:$AM, 11, FALSE) / VLOOKUP("transport|PM25|Minor restricted activity days", US_national_yearly!$D:$AM, 10, FALSE), 1)</f>
        <v>2.7946263562969156</v>
      </c>
      <c r="D14" s="7">
        <f>$B14 * IFERROR(VLOOKUP("transport|PM25|Minor restricted activity days", US_national_yearly!$D:$AM, 12, FALSE) / VLOOKUP("transport|PM25|Minor restricted activity days", US_national_yearly!$D:$AM, 10, FALSE), 1)</f>
        <v>2.8014345388869293</v>
      </c>
      <c r="E14" s="7">
        <f>$B14 * IFERROR(VLOOKUP("transport|PM25|Minor restricted activity days", US_national_yearly!$D:$AM, 13, FALSE) / VLOOKUP("transport|PM25|Minor restricted activity days", US_national_yearly!$D:$AM, 10, FALSE), 1)</f>
        <v>2.8082427214769434</v>
      </c>
      <c r="F14" s="7">
        <f>$B14 * IFERROR(VLOOKUP("transport|PM25|Minor restricted activity days", US_national_yearly!$D:$AM, 14, FALSE) / VLOOKUP("transport|PM25|Minor restricted activity days", US_national_yearly!$D:$AM, 10, FALSE), 1)</f>
        <v>2.8150509040669562</v>
      </c>
      <c r="G14" s="7">
        <f>$B14 * IFERROR(VLOOKUP("transport|PM25|Minor restricted activity days", US_national_yearly!$D:$AM, 15, FALSE) / VLOOKUP("transport|PM25|Minor restricted activity days", US_national_yearly!$D:$AM, 10, FALSE), 1)</f>
        <v>2.8250961737272728</v>
      </c>
      <c r="H14" s="7">
        <f>$B14 * IFERROR(VLOOKUP("transport|PM25|Minor restricted activity days", US_national_yearly!$D:$AM, 16, FALSE) / VLOOKUP("transport|PM25|Minor restricted activity days", US_national_yearly!$D:$AM, 10, FALSE), 1)</f>
        <v>2.8351414433875894</v>
      </c>
      <c r="I14" s="7">
        <f>$B14 * IFERROR(VLOOKUP("transport|PM25|Minor restricted activity days", US_national_yearly!$D:$AM, 17, FALSE) / VLOOKUP("transport|PM25|Minor restricted activity days", US_national_yearly!$D:$AM, 10, FALSE), 1)</f>
        <v>2.8523142544847402</v>
      </c>
      <c r="J14" s="7">
        <f>$B14 * IFERROR(VLOOKUP("transport|PM25|Minor restricted activity days", US_national_yearly!$D:$AM, 18, FALSE) / VLOOKUP("transport|PM25|Minor restricted activity days", US_national_yearly!$D:$AM, 10, FALSE), 1)</f>
        <v>2.86948706558189</v>
      </c>
      <c r="K14" s="7">
        <f>$B14 * IFERROR(VLOOKUP("transport|PM25|Minor restricted activity days", US_national_yearly!$D:$AM, 19, FALSE) / VLOOKUP("transport|PM25|Minor restricted activity days", US_national_yearly!$D:$AM, 10, FALSE), 1)</f>
        <v>2.8866598766790412</v>
      </c>
      <c r="L14" s="7">
        <f>$B14 * IFERROR(VLOOKUP("transport|PM25|Minor restricted activity days", US_national_yearly!$D:$AM, 20, FALSE) / VLOOKUP("transport|PM25|Minor restricted activity days", US_national_yearly!$D:$AM, 10, FALSE), 1)</f>
        <v>2.9038326877761915</v>
      </c>
      <c r="M14" s="7">
        <f>$B14 * IFERROR(VLOOKUP("transport|PM25|Minor restricted activity days", US_national_yearly!$D:$AM, 21, FALSE) / VLOOKUP("transport|PM25|Minor restricted activity days", US_national_yearly!$D:$AM, 10, FALSE), 1)</f>
        <v>2.9210054988733418</v>
      </c>
      <c r="N14" s="7">
        <f>$B14 * IFERROR(VLOOKUP("transport|PM25|Minor restricted activity days", US_national_yearly!$D:$AM, 22, FALSE) / VLOOKUP("transport|PM25|Minor restricted activity days", US_national_yearly!$D:$AM, 10, FALSE), 1)</f>
        <v>2.9443982866882696</v>
      </c>
      <c r="O14" s="7">
        <f>$B14 * IFERROR(VLOOKUP("transport|PM25|Minor restricted activity days", US_national_yearly!$D:$AM, 23, FALSE) / VLOOKUP("transport|PM25|Minor restricted activity days", US_national_yearly!$D:$AM, 10, FALSE), 1)</f>
        <v>2.967791074503197</v>
      </c>
      <c r="P14" s="7">
        <f>$B14 * IFERROR(VLOOKUP("transport|PM25|Minor restricted activity days", US_national_yearly!$D:$AM, 24, FALSE) / VLOOKUP("transport|PM25|Minor restricted activity days", US_national_yearly!$D:$AM, 10, FALSE), 1)</f>
        <v>2.9911838623181248</v>
      </c>
      <c r="Q14" s="7">
        <f>$B14 * IFERROR(VLOOKUP("transport|PM25|Minor restricted activity days", US_national_yearly!$D:$AM, 25, FALSE) / VLOOKUP("transport|PM25|Minor restricted activity days", US_national_yearly!$D:$AM, 10, FALSE), 1)</f>
        <v>3.0145766501330522</v>
      </c>
      <c r="R14" s="7">
        <f>$B14 * IFERROR(VLOOKUP("transport|PM25|Minor restricted activity days", US_national_yearly!$D:$AM, 26, FALSE) / VLOOKUP("transport|PM25|Minor restricted activity days", US_national_yearly!$D:$AM, 10, FALSE), 1)</f>
        <v>3.0379694379479796</v>
      </c>
      <c r="S14" s="7">
        <f>$B14 * IFERROR(VLOOKUP("transport|PM25|Minor restricted activity days", US_national_yearly!$D:$AM, 27, FALSE) / VLOOKUP("transport|PM25|Minor restricted activity days", US_national_yearly!$D:$AM, 10, FALSE), 1)</f>
        <v>3.0615233242272542</v>
      </c>
      <c r="T14" s="7">
        <f>$B14 * IFERROR(VLOOKUP("transport|PM25|Minor restricted activity days", US_national_yearly!$D:$AM, 28, FALSE) / VLOOKUP("transport|PM25|Minor restricted activity days", US_national_yearly!$D:$AM, 10, FALSE), 1)</f>
        <v>3.0850772105065283</v>
      </c>
      <c r="U14" s="7">
        <f>$B14 * IFERROR(VLOOKUP("transport|PM25|Minor restricted activity days", US_national_yearly!$D:$AM, 29, FALSE) / VLOOKUP("transport|PM25|Minor restricted activity days", US_national_yearly!$D:$AM, 10, FALSE), 1)</f>
        <v>3.1086310967858028</v>
      </c>
      <c r="V14" s="7">
        <f>$B14 * IFERROR(VLOOKUP("transport|PM25|Minor restricted activity days", US_national_yearly!$D:$AM, 30, FALSE) / VLOOKUP("transport|PM25|Minor restricted activity days", US_national_yearly!$D:$AM, 10, FALSE), 1)</f>
        <v>3.132184983065077</v>
      </c>
      <c r="W14" s="7">
        <f>$B14 * IFERROR(VLOOKUP("transport|PM25|Minor restricted activity days", US_national_yearly!$D:$AM, 31, FALSE) / VLOOKUP("transport|PM25|Minor restricted activity days", US_national_yearly!$D:$AM, 10, FALSE), 1)</f>
        <v>3.1557388693443515</v>
      </c>
      <c r="X14" s="7">
        <f>$B14 * IFERROR(VLOOKUP("transport|PM25|Minor restricted activity days", US_national_yearly!$D:$AM, 32, FALSE) / VLOOKUP("transport|PM25|Minor restricted activity days", US_national_yearly!$D:$AM, 10, FALSE), 1)</f>
        <v>3.1761860122008052</v>
      </c>
      <c r="Y14" s="7">
        <f>$B14 * IFERROR(VLOOKUP("transport|PM25|Minor restricted activity days", US_national_yearly!$D:$AM, 33, FALSE) / VLOOKUP("transport|PM25|Minor restricted activity days", US_national_yearly!$D:$AM, 10, FALSE), 1)</f>
        <v>3.1966331550572589</v>
      </c>
      <c r="Z14" s="7">
        <f>$B14 * IFERROR(VLOOKUP("transport|PM25|Minor restricted activity days", US_national_yearly!$D:$AM, 34, FALSE) / VLOOKUP("transport|PM25|Minor restricted activity days", US_national_yearly!$D:$AM, 10, FALSE), 1)</f>
        <v>3.2170802979137125</v>
      </c>
      <c r="AA14" s="7">
        <f>$B14 * IFERROR(VLOOKUP("transport|PM25|Minor restricted activity days", US_national_yearly!$D:$AM, 35, FALSE) / VLOOKUP("transport|PM25|Minor restricted activity days", US_national_yearly!$D:$AM, 10, FALSE), 1)</f>
        <v>3.2375274407701653</v>
      </c>
      <c r="AB14" s="7">
        <f>$B14 * IFERROR(VLOOKUP("transport|PM25|Minor restricted activity days", US_national_yearly!$D:$AM, 36, FALSE) / VLOOKUP("transport|PM25|Minor restricted activity days", US_national_yearly!$D:$AM, 10, FALSE), 1)</f>
        <v>3.257974583626619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0.47384824177169188</v>
      </c>
      <c r="C15" s="7">
        <f>$B15 * IFERROR(VLOOKUP("transport|PM25|Work loss days", US_national_yearly!$D:$AM, 11, FALSE) / VLOOKUP("transport|PM25|Work loss days", US_national_yearly!$D:$AM, 10, FALSE), 1)</f>
        <v>0.47531700065488602</v>
      </c>
      <c r="D15" s="7">
        <f>$B15 * IFERROR(VLOOKUP("transport|PM25|Work loss days", US_national_yearly!$D:$AM, 12, FALSE) / VLOOKUP("transport|PM25|Work loss days", US_national_yearly!$D:$AM, 10, FALSE), 1)</f>
        <v>0.47678575953808028</v>
      </c>
      <c r="E15" s="7">
        <f>$B15 * IFERROR(VLOOKUP("transport|PM25|Work loss days", US_national_yearly!$D:$AM, 13, FALSE) / VLOOKUP("transport|PM25|Work loss days", US_national_yearly!$D:$AM, 10, FALSE), 1)</f>
        <v>0.47825451842127442</v>
      </c>
      <c r="F15" s="7">
        <f>$B15 * IFERROR(VLOOKUP("transport|PM25|Work loss days", US_national_yearly!$D:$AM, 14, FALSE) / VLOOKUP("transport|PM25|Work loss days", US_national_yearly!$D:$AM, 10, FALSE), 1)</f>
        <v>0.47972327730446856</v>
      </c>
      <c r="G15" s="7">
        <f>$B15 * IFERROR(VLOOKUP("transport|PM25|Work loss days", US_national_yearly!$D:$AM, 15, FALSE) / VLOOKUP("transport|PM25|Work loss days", US_national_yearly!$D:$AM, 10, FALSE), 1)</f>
        <v>0.48164891392324916</v>
      </c>
      <c r="H15" s="7">
        <f>$B15 * IFERROR(VLOOKUP("transport|PM25|Work loss days", US_national_yearly!$D:$AM, 16, FALSE) / VLOOKUP("transport|PM25|Work loss days", US_national_yearly!$D:$AM, 10, FALSE), 1)</f>
        <v>0.4835745505420298</v>
      </c>
      <c r="I15" s="7">
        <f>$B15 * IFERROR(VLOOKUP("transport|PM25|Work loss days", US_national_yearly!$D:$AM, 17, FALSE) / VLOOKUP("transport|PM25|Work loss days", US_national_yearly!$D:$AM, 10, FALSE), 1)</f>
        <v>0.48641026225415041</v>
      </c>
      <c r="J15" s="7">
        <f>$B15 * IFERROR(VLOOKUP("transport|PM25|Work loss days", US_national_yearly!$D:$AM, 18, FALSE) / VLOOKUP("transport|PM25|Work loss days", US_national_yearly!$D:$AM, 10, FALSE), 1)</f>
        <v>0.48924597396627095</v>
      </c>
      <c r="K15" s="7">
        <f>$B15 * IFERROR(VLOOKUP("transport|PM25|Work loss days", US_national_yearly!$D:$AM, 19, FALSE) / VLOOKUP("transport|PM25|Work loss days", US_national_yearly!$D:$AM, 10, FALSE), 1)</f>
        <v>0.4920816856783915</v>
      </c>
      <c r="L15" s="7">
        <f>$B15 * IFERROR(VLOOKUP("transport|PM25|Work loss days", US_national_yearly!$D:$AM, 20, FALSE) / VLOOKUP("transport|PM25|Work loss days", US_national_yearly!$D:$AM, 10, FALSE), 1)</f>
        <v>0.49491739739051205</v>
      </c>
      <c r="M15" s="7">
        <f>$B15 * IFERROR(VLOOKUP("transport|PM25|Work loss days", US_national_yearly!$D:$AM, 21, FALSE) / VLOOKUP("transport|PM25|Work loss days", US_national_yearly!$D:$AM, 10, FALSE), 1)</f>
        <v>0.4977531091026326</v>
      </c>
      <c r="N15" s="7">
        <f>$B15 * IFERROR(VLOOKUP("transport|PM25|Work loss days", US_national_yearly!$D:$AM, 22, FALSE) / VLOOKUP("transport|PM25|Work loss days", US_national_yearly!$D:$AM, 10, FALSE), 1)</f>
        <v>0.50132206692395609</v>
      </c>
      <c r="O15" s="7">
        <f>$B15 * IFERROR(VLOOKUP("transport|PM25|Work loss days", US_national_yearly!$D:$AM, 23, FALSE) / VLOOKUP("transport|PM25|Work loss days", US_national_yearly!$D:$AM, 10, FALSE), 1)</f>
        <v>0.50489102474527936</v>
      </c>
      <c r="P15" s="7">
        <f>$B15 * IFERROR(VLOOKUP("transport|PM25|Work loss days", US_national_yearly!$D:$AM, 24, FALSE) / VLOOKUP("transport|PM25|Work loss days", US_national_yearly!$D:$AM, 10, FALSE), 1)</f>
        <v>0.50845998256660274</v>
      </c>
      <c r="Q15" s="7">
        <f>$B15 * IFERROR(VLOOKUP("transport|PM25|Work loss days", US_national_yearly!$D:$AM, 25, FALSE) / VLOOKUP("transport|PM25|Work loss days", US_national_yearly!$D:$AM, 10, FALSE), 1)</f>
        <v>0.51202894038792612</v>
      </c>
      <c r="R15" s="7">
        <f>$B15 * IFERROR(VLOOKUP("transport|PM25|Work loss days", US_national_yearly!$D:$AM, 26, FALSE) / VLOOKUP("transport|PM25|Work loss days", US_national_yearly!$D:$AM, 10, FALSE), 1)</f>
        <v>0.51559789820924951</v>
      </c>
      <c r="S15" s="7">
        <f>$B15 * IFERROR(VLOOKUP("transport|PM25|Work loss days", US_national_yearly!$D:$AM, 27, FALSE) / VLOOKUP("transport|PM25|Work loss days", US_national_yearly!$D:$AM, 10, FALSE), 1)</f>
        <v>0.51954531793076653</v>
      </c>
      <c r="T15" s="7">
        <f>$B15 * IFERROR(VLOOKUP("transport|PM25|Work loss days", US_national_yearly!$D:$AM, 28, FALSE) / VLOOKUP("transport|PM25|Work loss days", US_national_yearly!$D:$AM, 10, FALSE), 1)</f>
        <v>0.52349273765228366</v>
      </c>
      <c r="U15" s="7">
        <f>$B15 * IFERROR(VLOOKUP("transport|PM25|Work loss days", US_national_yearly!$D:$AM, 29, FALSE) / VLOOKUP("transport|PM25|Work loss days", US_national_yearly!$D:$AM, 10, FALSE), 1)</f>
        <v>0.52744015737380057</v>
      </c>
      <c r="V15" s="7">
        <f>$B15 * IFERROR(VLOOKUP("transport|PM25|Work loss days", US_national_yearly!$D:$AM, 30, FALSE) / VLOOKUP("transport|PM25|Work loss days", US_national_yearly!$D:$AM, 10, FALSE), 1)</f>
        <v>0.53138757709531759</v>
      </c>
      <c r="W15" s="7">
        <f>$B15 * IFERROR(VLOOKUP("transport|PM25|Work loss days", US_national_yearly!$D:$AM, 31, FALSE) / VLOOKUP("transport|PM25|Work loss days", US_national_yearly!$D:$AM, 10, FALSE), 1)</f>
        <v>0.53533499681683461</v>
      </c>
      <c r="X15" s="7">
        <f>$B15 * IFERROR(VLOOKUP("transport|PM25|Work loss days", US_national_yearly!$D:$AM, 32, FALSE) / VLOOKUP("transport|PM25|Work loss days", US_national_yearly!$D:$AM, 10, FALSE), 1)</f>
        <v>0.53883742274321822</v>
      </c>
      <c r="Y15" s="7">
        <f>$B15 * IFERROR(VLOOKUP("transport|PM25|Work loss days", US_national_yearly!$D:$AM, 33, FALSE) / VLOOKUP("transport|PM25|Work loss days", US_national_yearly!$D:$AM, 10, FALSE), 1)</f>
        <v>0.54233984866960172</v>
      </c>
      <c r="Z15" s="7">
        <f>$B15 * IFERROR(VLOOKUP("transport|PM25|Work loss days", US_national_yearly!$D:$AM, 34, FALSE) / VLOOKUP("transport|PM25|Work loss days", US_national_yearly!$D:$AM, 10, FALSE), 1)</f>
        <v>0.54584227459598544</v>
      </c>
      <c r="AA15" s="7">
        <f>$B15 * IFERROR(VLOOKUP("transport|PM25|Work loss days", US_national_yearly!$D:$AM, 35, FALSE) / VLOOKUP("transport|PM25|Work loss days", US_national_yearly!$D:$AM, 10, FALSE), 1)</f>
        <v>0.54934470052236906</v>
      </c>
      <c r="AB15" s="7">
        <f>$B15 * IFERROR(VLOOKUP("transport|PM25|Work loss days", US_national_yearly!$D:$AM, 36, FALSE) / VLOOKUP("transport|PM25|Work loss days", US_national_yearly!$D:$AM, 10, FALSE), 1)</f>
        <v>0.55284712644875256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7.9919781616127688E-4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8.2307840420228447E-4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8.4695899224329217E-4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8.7083958028429998E-4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8.9472016832530768E-4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9.1759350595675096E-4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9.4046684358819446E-4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9.6002937772718194E-4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9.7959191186616909E-4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9.9915444600515635E-4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1.018716980144144E-3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1.0382795142831313E-3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1.0513223024323278E-3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1.0643650905815248E-3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1.0774078787307213E-3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1.090450666879918E-3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1.1034934550291147E-3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1.1103943076486808E-3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1.1172951602682467E-3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1.1241960128878124E-3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1.1310968655073785E-3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1.1379977181269444E-3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1.1426434628840454E-3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1.1472892076411464E-3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1.1519349523982471E-3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1.1565806971553481E-3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1.1612264419124491E-3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2.6401339247948485E-4</v>
      </c>
      <c r="C2" s="7">
        <f>$B2 * IFERROR(VLOOKUP("transport|NOx|Premature mortality", US_national_yearly!$D:$AM, 11, FALSE) / VLOOKUP("transport|NOx|Premature mortality", US_national_yearly!$D:$AM, 10, FALSE), 1)</f>
        <v>2.678913029655078E-4</v>
      </c>
      <c r="D2" s="7">
        <f>$B2 * IFERROR(VLOOKUP("transport|NOx|Premature mortality", US_national_yearly!$D:$AM, 12, FALSE) / VLOOKUP("transport|NOx|Premature mortality", US_national_yearly!$D:$AM, 10, FALSE), 1)</f>
        <v>2.7176921345153064E-4</v>
      </c>
      <c r="E2" s="7">
        <f>$B2 * IFERROR(VLOOKUP("transport|NOx|Premature mortality", US_national_yearly!$D:$AM, 13, FALSE) / VLOOKUP("transport|NOx|Premature mortality", US_national_yearly!$D:$AM, 10, FALSE), 1)</f>
        <v>2.7564712393755359E-4</v>
      </c>
      <c r="F2" s="7">
        <f>$B2 * IFERROR(VLOOKUP("transport|NOx|Premature mortality", US_national_yearly!$D:$AM, 14, FALSE) / VLOOKUP("transport|NOx|Premature mortality", US_national_yearly!$D:$AM, 10, FALSE), 1)</f>
        <v>2.7952503442357649E-4</v>
      </c>
      <c r="G2" s="7">
        <f>$B2 * IFERROR(VLOOKUP("transport|NOx|Premature mortality", US_national_yearly!$D:$AM, 15, FALSE) / VLOOKUP("transport|NOx|Premature mortality", US_national_yearly!$D:$AM, 10, FALSE), 1)</f>
        <v>2.8649067848837478E-4</v>
      </c>
      <c r="H2" s="7">
        <f>$B2 * IFERROR(VLOOKUP("transport|NOx|Premature mortality", US_national_yearly!$D:$AM, 16, FALSE) / VLOOKUP("transport|NOx|Premature mortality", US_national_yearly!$D:$AM, 10, FALSE), 1)</f>
        <v>2.9345632255317313E-4</v>
      </c>
      <c r="I2" s="7">
        <f>$B2 * IFERROR(VLOOKUP("transport|NOx|Premature mortality", US_national_yearly!$D:$AM, 17, FALSE) / VLOOKUP("transport|NOx|Premature mortality", US_national_yearly!$D:$AM, 10, FALSE), 1)</f>
        <v>2.979527779257602E-4</v>
      </c>
      <c r="J2" s="7">
        <f>$B2 * IFERROR(VLOOKUP("transport|NOx|Premature mortality", US_national_yearly!$D:$AM, 18, FALSE) / VLOOKUP("transport|NOx|Premature mortality", US_national_yearly!$D:$AM, 10, FALSE), 1)</f>
        <v>3.0244923329834727E-4</v>
      </c>
      <c r="K2" s="7">
        <f>$B2 * IFERROR(VLOOKUP("transport|NOx|Premature mortality", US_national_yearly!$D:$AM, 19, FALSE) / VLOOKUP("transport|NOx|Premature mortality", US_national_yearly!$D:$AM, 10, FALSE), 1)</f>
        <v>3.0694568867093433E-4</v>
      </c>
      <c r="L2" s="7">
        <f>$B2 * IFERROR(VLOOKUP("transport|NOx|Premature mortality", US_national_yearly!$D:$AM, 20, FALSE) / VLOOKUP("transport|NOx|Premature mortality", US_national_yearly!$D:$AM, 10, FALSE), 1)</f>
        <v>3.114421440435214E-4</v>
      </c>
      <c r="M2" s="7">
        <f>$B2 * IFERROR(VLOOKUP("transport|NOx|Premature mortality", US_national_yearly!$D:$AM, 21, FALSE) / VLOOKUP("transport|NOx|Premature mortality", US_national_yearly!$D:$AM, 10, FALSE), 1)</f>
        <v>3.1593859941610853E-4</v>
      </c>
      <c r="N2" s="7">
        <f>$B2 * IFERROR(VLOOKUP("transport|NOx|Premature mortality", US_national_yearly!$D:$AM, 22, FALSE) / VLOOKUP("transport|NOx|Premature mortality", US_national_yearly!$D:$AM, 10, FALSE), 1)</f>
        <v>3.1926955607595428E-4</v>
      </c>
      <c r="O2" s="7">
        <f>$B2 * IFERROR(VLOOKUP("transport|NOx|Premature mortality", US_national_yearly!$D:$AM, 23, FALSE) / VLOOKUP("transport|NOx|Premature mortality", US_national_yearly!$D:$AM, 10, FALSE), 1)</f>
        <v>3.2260051273580003E-4</v>
      </c>
      <c r="P2" s="7">
        <f>$B2 * IFERROR(VLOOKUP("transport|NOx|Premature mortality", US_national_yearly!$D:$AM, 24, FALSE) / VLOOKUP("transport|NOx|Premature mortality", US_national_yearly!$D:$AM, 10, FALSE), 1)</f>
        <v>3.2593146939564573E-4</v>
      </c>
      <c r="Q2" s="7">
        <f>$B2 * IFERROR(VLOOKUP("transport|NOx|Premature mortality", US_national_yearly!$D:$AM, 25, FALSE) / VLOOKUP("transport|NOx|Premature mortality", US_national_yearly!$D:$AM, 10, FALSE), 1)</f>
        <v>3.2926242605549159E-4</v>
      </c>
      <c r="R2" s="7">
        <f>$B2 * IFERROR(VLOOKUP("transport|NOx|Premature mortality", US_national_yearly!$D:$AM, 26, FALSE) / VLOOKUP("transport|NOx|Premature mortality", US_national_yearly!$D:$AM, 10, FALSE), 1)</f>
        <v>3.3259338271533729E-4</v>
      </c>
      <c r="S2" s="7">
        <f>$B2 * IFERROR(VLOOKUP("transport|NOx|Premature mortality", US_national_yearly!$D:$AM, 27, FALSE) / VLOOKUP("transport|NOx|Premature mortality", US_national_yearly!$D:$AM, 10, FALSE), 1)</f>
        <v>3.3410733605952503E-4</v>
      </c>
      <c r="T2" s="7">
        <f>$B2 * IFERROR(VLOOKUP("transport|NOx|Premature mortality", US_national_yearly!$D:$AM, 28, FALSE) / VLOOKUP("transport|NOx|Premature mortality", US_national_yearly!$D:$AM, 10, FALSE), 1)</f>
        <v>3.3562128940371278E-4</v>
      </c>
      <c r="U2" s="7">
        <f>$B2 * IFERROR(VLOOKUP("transport|NOx|Premature mortality", US_national_yearly!$D:$AM, 29, FALSE) / VLOOKUP("transport|NOx|Premature mortality", US_national_yearly!$D:$AM, 10, FALSE), 1)</f>
        <v>3.3713524274790047E-4</v>
      </c>
      <c r="V2" s="7">
        <f>$B2 * IFERROR(VLOOKUP("transport|NOx|Premature mortality", US_national_yearly!$D:$AM, 30, FALSE) / VLOOKUP("transport|NOx|Premature mortality", US_national_yearly!$D:$AM, 10, FALSE), 1)</f>
        <v>3.3864919609208821E-4</v>
      </c>
      <c r="W2" s="7">
        <f>$B2 * IFERROR(VLOOKUP("transport|NOx|Premature mortality", US_national_yearly!$D:$AM, 31, FALSE) / VLOOKUP("transport|NOx|Premature mortality", US_national_yearly!$D:$AM, 10, FALSE), 1)</f>
        <v>3.4016314943627595E-4</v>
      </c>
      <c r="X2" s="7">
        <f>$B2 * IFERROR(VLOOKUP("transport|NOx|Premature mortality", US_national_yearly!$D:$AM, 32, FALSE) / VLOOKUP("transport|NOx|Premature mortality", US_national_yearly!$D:$AM, 10, FALSE), 1)</f>
        <v>3.4021559191110243E-4</v>
      </c>
      <c r="Y2" s="7">
        <f>$B2 * IFERROR(VLOOKUP("transport|NOx|Premature mortality", US_national_yearly!$D:$AM, 33, FALSE) / VLOOKUP("transport|NOx|Premature mortality", US_national_yearly!$D:$AM, 10, FALSE), 1)</f>
        <v>3.4026803438592896E-4</v>
      </c>
      <c r="Z2" s="7">
        <f>$B2 * IFERROR(VLOOKUP("transport|NOx|Premature mortality", US_national_yearly!$D:$AM, 34, FALSE) / VLOOKUP("transport|NOx|Premature mortality", US_national_yearly!$D:$AM, 10, FALSE), 1)</f>
        <v>3.4032047686075539E-4</v>
      </c>
      <c r="AA2" s="7">
        <f>$B2 * IFERROR(VLOOKUP("transport|NOx|Premature mortality", US_national_yearly!$D:$AM, 35, FALSE) / VLOOKUP("transport|NOx|Premature mortality", US_national_yearly!$D:$AM, 10, FALSE), 1)</f>
        <v>3.4037291933558192E-4</v>
      </c>
      <c r="AB2" s="7">
        <f>$B2 * IFERROR(VLOOKUP("transport|NOx|Premature mortality", US_national_yearly!$D:$AM, 36, FALSE) / VLOOKUP("transport|NOx|Premature mortality", US_national_yearly!$D:$AM, 10, FALSE), 1)</f>
        <v>3.4042536181040845E-4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7.848210044229253E-7</v>
      </c>
      <c r="C3" s="7">
        <f>$B3 * IFERROR(VLOOKUP("transport|NOx|Infant mortality", US_national_yearly!$D:$AM, 11, FALSE) / VLOOKUP("transport|NOx|Infant mortality", US_national_yearly!$D:$AM, 10, FALSE), 1)</f>
        <v>7.7734358450434192E-7</v>
      </c>
      <c r="D3" s="7">
        <f>$B3 * IFERROR(VLOOKUP("transport|NOx|Infant mortality", US_national_yearly!$D:$AM, 12, FALSE) / VLOOKUP("transport|NOx|Infant mortality", US_national_yearly!$D:$AM, 10, FALSE), 1)</f>
        <v>7.6986616458575844E-7</v>
      </c>
      <c r="E3" s="7">
        <f>$B3 * IFERROR(VLOOKUP("transport|NOx|Infant mortality", US_national_yearly!$D:$AM, 13, FALSE) / VLOOKUP("transport|NOx|Infant mortality", US_national_yearly!$D:$AM, 10, FALSE), 1)</f>
        <v>7.6238874466717496E-7</v>
      </c>
      <c r="F3" s="7">
        <f>$B3 * IFERROR(VLOOKUP("transport|NOx|Infant mortality", US_national_yearly!$D:$AM, 14, FALSE) / VLOOKUP("transport|NOx|Infant mortality", US_national_yearly!$D:$AM, 10, FALSE), 1)</f>
        <v>7.5491132474859159E-7</v>
      </c>
      <c r="G3" s="7">
        <f>$B3 * IFERROR(VLOOKUP("transport|NOx|Infant mortality", US_national_yearly!$D:$AM, 15, FALSE) / VLOOKUP("transport|NOx|Infant mortality", US_national_yearly!$D:$AM, 10, FALSE), 1)</f>
        <v>5.0114741563114024E-7</v>
      </c>
      <c r="H3" s="7">
        <f>$B3 * IFERROR(VLOOKUP("transport|NOx|Infant mortality", US_national_yearly!$D:$AM, 16, FALSE) / VLOOKUP("transport|NOx|Infant mortality", US_national_yearly!$D:$AM, 10, FALSE), 1)</f>
        <v>2.4738350651368906E-7</v>
      </c>
      <c r="I3" s="7">
        <f>$B3 * IFERROR(VLOOKUP("transport|NOx|Infant mortality", US_national_yearly!$D:$AM, 17, FALSE) / VLOOKUP("transport|NOx|Infant mortality", US_national_yearly!$D:$AM, 10, FALSE), 1)</f>
        <v>2.456342689199027E-7</v>
      </c>
      <c r="J3" s="7">
        <f>$B3 * IFERROR(VLOOKUP("transport|NOx|Infant mortality", US_national_yearly!$D:$AM, 18, FALSE) / VLOOKUP("transport|NOx|Infant mortality", US_national_yearly!$D:$AM, 10, FALSE), 1)</f>
        <v>2.4388503132611634E-7</v>
      </c>
      <c r="K3" s="7">
        <f>$B3 * IFERROR(VLOOKUP("transport|NOx|Infant mortality", US_national_yearly!$D:$AM, 19, FALSE) / VLOOKUP("transport|NOx|Infant mortality", US_national_yearly!$D:$AM, 10, FALSE), 1)</f>
        <v>2.4213579373233003E-7</v>
      </c>
      <c r="L3" s="7">
        <f>$B3 * IFERROR(VLOOKUP("transport|NOx|Infant mortality", US_national_yearly!$D:$AM, 20, FALSE) / VLOOKUP("transport|NOx|Infant mortality", US_national_yearly!$D:$AM, 10, FALSE), 1)</f>
        <v>2.4038655613854372E-7</v>
      </c>
      <c r="M3" s="7">
        <f>$B3 * IFERROR(VLOOKUP("transport|NOx|Infant mortality", US_national_yearly!$D:$AM, 21, FALSE) / VLOOKUP("transport|NOx|Infant mortality", US_national_yearly!$D:$AM, 10, FALSE), 1)</f>
        <v>2.3863731854475737E-7</v>
      </c>
      <c r="N3" s="7">
        <f>$B3 * IFERROR(VLOOKUP("transport|NOx|Infant mortality", US_national_yearly!$D:$AM, 22, FALSE) / VLOOKUP("transport|NOx|Infant mortality", US_national_yearly!$D:$AM, 10, FALSE), 1)</f>
        <v>2.3747624776997201E-7</v>
      </c>
      <c r="O3" s="7">
        <f>$B3 * IFERROR(VLOOKUP("transport|NOx|Infant mortality", US_national_yearly!$D:$AM, 23, FALSE) / VLOOKUP("transport|NOx|Infant mortality", US_national_yearly!$D:$AM, 10, FALSE), 1)</f>
        <v>2.3631517699518664E-7</v>
      </c>
      <c r="P3" s="7">
        <f>$B3 * IFERROR(VLOOKUP("transport|NOx|Infant mortality", US_national_yearly!$D:$AM, 24, FALSE) / VLOOKUP("transport|NOx|Infant mortality", US_national_yearly!$D:$AM, 10, FALSE), 1)</f>
        <v>2.3515410622040126E-7</v>
      </c>
      <c r="Q3" s="7">
        <f>$B3 * IFERROR(VLOOKUP("transport|NOx|Infant mortality", US_national_yearly!$D:$AM, 25, FALSE) / VLOOKUP("transport|NOx|Infant mortality", US_national_yearly!$D:$AM, 10, FALSE), 1)</f>
        <v>2.339930354456159E-7</v>
      </c>
      <c r="R3" s="7">
        <f>$B3 * IFERROR(VLOOKUP("transport|NOx|Infant mortality", US_national_yearly!$D:$AM, 26, FALSE) / VLOOKUP("transport|NOx|Infant mortality", US_national_yearly!$D:$AM, 10, FALSE), 1)</f>
        <v>2.3283196467083054E-7</v>
      </c>
      <c r="S3" s="7">
        <f>$B3 * IFERROR(VLOOKUP("transport|NOx|Infant mortality", US_national_yearly!$D:$AM, 27, FALSE) / VLOOKUP("transport|NOx|Infant mortality", US_national_yearly!$D:$AM, 10, FALSE), 1)</f>
        <v>2.3143617296162194E-7</v>
      </c>
      <c r="T3" s="7">
        <f>$B3 * IFERROR(VLOOKUP("transport|NOx|Infant mortality", US_national_yearly!$D:$AM, 28, FALSE) / VLOOKUP("transport|NOx|Infant mortality", US_national_yearly!$D:$AM, 10, FALSE), 1)</f>
        <v>2.3004038125241335E-7</v>
      </c>
      <c r="U3" s="7">
        <f>$B3 * IFERROR(VLOOKUP("transport|NOx|Infant mortality", US_national_yearly!$D:$AM, 29, FALSE) / VLOOKUP("transport|NOx|Infant mortality", US_national_yearly!$D:$AM, 10, FALSE), 1)</f>
        <v>2.2864458954320478E-7</v>
      </c>
      <c r="V3" s="7">
        <f>$B3 * IFERROR(VLOOKUP("transport|NOx|Infant mortality", US_national_yearly!$D:$AM, 30, FALSE) / VLOOKUP("transport|NOx|Infant mortality", US_national_yearly!$D:$AM, 10, FALSE), 1)</f>
        <v>2.2724879783399619E-7</v>
      </c>
      <c r="W3" s="7">
        <f>$B3 * IFERROR(VLOOKUP("transport|NOx|Infant mortality", US_national_yearly!$D:$AM, 31, FALSE) / VLOOKUP("transport|NOx|Infant mortality", US_national_yearly!$D:$AM, 10, FALSE), 1)</f>
        <v>2.2585300612478759E-7</v>
      </c>
      <c r="X3" s="7">
        <f>$B3 * IFERROR(VLOOKUP("transport|NOx|Infant mortality", US_national_yearly!$D:$AM, 32, FALSE) / VLOOKUP("transport|NOx|Infant mortality", US_national_yearly!$D:$AM, 10, FALSE), 1)</f>
        <v>2.2437479520700357E-7</v>
      </c>
      <c r="Y3" s="7">
        <f>$B3 * IFERROR(VLOOKUP("transport|NOx|Infant mortality", US_national_yearly!$D:$AM, 33, FALSE) / VLOOKUP("transport|NOx|Infant mortality", US_national_yearly!$D:$AM, 10, FALSE), 1)</f>
        <v>2.2289658428921947E-7</v>
      </c>
      <c r="Z3" s="7">
        <f>$B3 * IFERROR(VLOOKUP("transport|NOx|Infant mortality", US_national_yearly!$D:$AM, 34, FALSE) / VLOOKUP("transport|NOx|Infant mortality", US_national_yearly!$D:$AM, 10, FALSE), 1)</f>
        <v>2.2141837337143539E-7</v>
      </c>
      <c r="AA3" s="7">
        <f>$B3 * IFERROR(VLOOKUP("transport|NOx|Infant mortality", US_national_yearly!$D:$AM, 35, FALSE) / VLOOKUP("transport|NOx|Infant mortality", US_national_yearly!$D:$AM, 10, FALSE), 1)</f>
        <v>2.1994016245365129E-7</v>
      </c>
      <c r="AB3" s="7">
        <f>$B3 * IFERROR(VLOOKUP("transport|NOx|Infant mortality", US_national_yearly!$D:$AM, 36, FALSE) / VLOOKUP("transport|NOx|Infant mortality", US_national_yearly!$D:$AM, 10, FALSE), 1)</f>
        <v>2.1846195153586721E-7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7.7364262922406885E-4</v>
      </c>
      <c r="C6" s="7">
        <f>$B6 * IFERROR(VLOOKUP("transport|NOx|Asthma symptoms cough", US_national_yearly!$D:$AM, 11, FALSE) / VLOOKUP("transport|NOx|Asthma symptoms cough", US_national_yearly!$D:$AM, 10, FALSE), 1)</f>
        <v>7.8421958882119184E-4</v>
      </c>
      <c r="D6" s="7">
        <f>$B6 * IFERROR(VLOOKUP("transport|NOx|Asthma symptoms cough", US_national_yearly!$D:$AM, 12, FALSE) / VLOOKUP("transport|NOx|Asthma symptoms cough", US_national_yearly!$D:$AM, 10, FALSE), 1)</f>
        <v>7.9479654841831473E-4</v>
      </c>
      <c r="E6" s="7">
        <f>$B6 * IFERROR(VLOOKUP("transport|NOx|Asthma symptoms cough", US_national_yearly!$D:$AM, 13, FALSE) / VLOOKUP("transport|NOx|Asthma symptoms cough", US_national_yearly!$D:$AM, 10, FALSE), 1)</f>
        <v>8.0537350801543773E-4</v>
      </c>
      <c r="F6" s="7">
        <f>$B6 * IFERROR(VLOOKUP("transport|NOx|Asthma symptoms cough", US_national_yearly!$D:$AM, 14, FALSE) / VLOOKUP("transport|NOx|Asthma symptoms cough", US_national_yearly!$D:$AM, 10, FALSE), 1)</f>
        <v>8.1595046761256062E-4</v>
      </c>
      <c r="G6" s="7">
        <f>$B6 * IFERROR(VLOOKUP("transport|NOx|Asthma symptoms cough", US_national_yearly!$D:$AM, 15, FALSE) / VLOOKUP("transport|NOx|Asthma symptoms cough", US_national_yearly!$D:$AM, 10, FALSE), 1)</f>
        <v>8.2439469182061468E-4</v>
      </c>
      <c r="H6" s="7">
        <f>$B6 * IFERROR(VLOOKUP("transport|NOx|Asthma symptoms cough", US_national_yearly!$D:$AM, 16, FALSE) / VLOOKUP("transport|NOx|Asthma symptoms cough", US_national_yearly!$D:$AM, 10, FALSE), 1)</f>
        <v>8.3283891602866896E-4</v>
      </c>
      <c r="I6" s="7">
        <f>$B6 * IFERROR(VLOOKUP("transport|NOx|Asthma symptoms cough", US_national_yearly!$D:$AM, 17, FALSE) / VLOOKUP("transport|NOx|Asthma symptoms cough", US_national_yearly!$D:$AM, 10, FALSE), 1)</f>
        <v>8.3574529728455184E-4</v>
      </c>
      <c r="J6" s="7">
        <f>$B6 * IFERROR(VLOOKUP("transport|NOx|Asthma symptoms cough", US_national_yearly!$D:$AM, 18, FALSE) / VLOOKUP("transport|NOx|Asthma symptoms cough", US_national_yearly!$D:$AM, 10, FALSE), 1)</f>
        <v>8.3865167854043493E-4</v>
      </c>
      <c r="K6" s="7">
        <f>$B6 * IFERROR(VLOOKUP("transport|NOx|Asthma symptoms cough", US_national_yearly!$D:$AM, 19, FALSE) / VLOOKUP("transport|NOx|Asthma symptoms cough", US_national_yearly!$D:$AM, 10, FALSE), 1)</f>
        <v>8.4155805979631792E-4</v>
      </c>
      <c r="L6" s="7">
        <f>$B6 * IFERROR(VLOOKUP("transport|NOx|Asthma symptoms cough", US_national_yearly!$D:$AM, 20, FALSE) / VLOOKUP("transport|NOx|Asthma symptoms cough", US_national_yearly!$D:$AM, 10, FALSE), 1)</f>
        <v>8.4446444105220079E-4</v>
      </c>
      <c r="M6" s="7">
        <f>$B6 * IFERROR(VLOOKUP("transport|NOx|Asthma symptoms cough", US_national_yearly!$D:$AM, 21, FALSE) / VLOOKUP("transport|NOx|Asthma symptoms cough", US_national_yearly!$D:$AM, 10, FALSE), 1)</f>
        <v>8.4737082230808389E-4</v>
      </c>
      <c r="N6" s="7">
        <f>$B6 * IFERROR(VLOOKUP("transport|NOx|Asthma symptoms cough", US_national_yearly!$D:$AM, 22, FALSE) / VLOOKUP("transport|NOx|Asthma symptoms cough", US_national_yearly!$D:$AM, 10, FALSE), 1)</f>
        <v>8.507409878045568E-4</v>
      </c>
      <c r="O6" s="7">
        <f>$B6 * IFERROR(VLOOKUP("transport|NOx|Asthma symptoms cough", US_national_yearly!$D:$AM, 23, FALSE) / VLOOKUP("transport|NOx|Asthma symptoms cough", US_national_yearly!$D:$AM, 10, FALSE), 1)</f>
        <v>8.541111533010297E-4</v>
      </c>
      <c r="P6" s="7">
        <f>$B6 * IFERROR(VLOOKUP("transport|NOx|Asthma symptoms cough", US_national_yearly!$D:$AM, 24, FALSE) / VLOOKUP("transport|NOx|Asthma symptoms cough", US_national_yearly!$D:$AM, 10, FALSE), 1)</f>
        <v>8.574813187975025E-4</v>
      </c>
      <c r="Q6" s="7">
        <f>$B6 * IFERROR(VLOOKUP("transport|NOx|Asthma symptoms cough", US_national_yearly!$D:$AM, 25, FALSE) / VLOOKUP("transport|NOx|Asthma symptoms cough", US_national_yearly!$D:$AM, 10, FALSE), 1)</f>
        <v>8.6085148429397562E-4</v>
      </c>
      <c r="R6" s="7">
        <f>$B6 * IFERROR(VLOOKUP("transport|NOx|Asthma symptoms cough", US_national_yearly!$D:$AM, 26, FALSE) / VLOOKUP("transport|NOx|Asthma symptoms cough", US_national_yearly!$D:$AM, 10, FALSE), 1)</f>
        <v>8.6422164979044853E-4</v>
      </c>
      <c r="S6" s="7">
        <f>$B6 * IFERROR(VLOOKUP("transport|NOx|Asthma symptoms cough", US_national_yearly!$D:$AM, 27, FALSE) / VLOOKUP("transport|NOx|Asthma symptoms cough", US_national_yearly!$D:$AM, 10, FALSE), 1)</f>
        <v>8.6862415931859903E-4</v>
      </c>
      <c r="T6" s="7">
        <f>$B6 * IFERROR(VLOOKUP("transport|NOx|Asthma symptoms cough", US_national_yearly!$D:$AM, 28, FALSE) / VLOOKUP("transport|NOx|Asthma symptoms cough", US_national_yearly!$D:$AM, 10, FALSE), 1)</f>
        <v>8.7302666884674931E-4</v>
      </c>
      <c r="U6" s="7">
        <f>$B6 * IFERROR(VLOOKUP("transport|NOx|Asthma symptoms cough", US_national_yearly!$D:$AM, 29, FALSE) / VLOOKUP("transport|NOx|Asthma symptoms cough", US_national_yearly!$D:$AM, 10, FALSE), 1)</f>
        <v>8.7742917837489948E-4</v>
      </c>
      <c r="V6" s="7">
        <f>$B6 * IFERROR(VLOOKUP("transport|NOx|Asthma symptoms cough", US_national_yearly!$D:$AM, 30, FALSE) / VLOOKUP("transport|NOx|Asthma symptoms cough", US_national_yearly!$D:$AM, 10, FALSE), 1)</f>
        <v>8.8183168790304997E-4</v>
      </c>
      <c r="W6" s="7">
        <f>$B6 * IFERROR(VLOOKUP("transport|NOx|Asthma symptoms cough", US_national_yearly!$D:$AM, 31, FALSE) / VLOOKUP("transport|NOx|Asthma symptoms cough", US_national_yearly!$D:$AM, 10, FALSE), 1)</f>
        <v>8.8623419743120025E-4</v>
      </c>
      <c r="X6" s="7">
        <f>$B6 * IFERROR(VLOOKUP("transport|NOx|Asthma symptoms cough", US_national_yearly!$D:$AM, 32, FALSE) / VLOOKUP("transport|NOx|Asthma symptoms cough", US_national_yearly!$D:$AM, 10, FALSE), 1)</f>
        <v>8.9032476135984481E-4</v>
      </c>
      <c r="Y6" s="7">
        <f>$B6 * IFERROR(VLOOKUP("transport|NOx|Asthma symptoms cough", US_national_yearly!$D:$AM, 33, FALSE) / VLOOKUP("transport|NOx|Asthma symptoms cough", US_national_yearly!$D:$AM, 10, FALSE), 1)</f>
        <v>8.9441532528848925E-4</v>
      </c>
      <c r="Z6" s="7">
        <f>$B6 * IFERROR(VLOOKUP("transport|NOx|Asthma symptoms cough", US_national_yearly!$D:$AM, 34, FALSE) / VLOOKUP("transport|NOx|Asthma symptoms cough", US_national_yearly!$D:$AM, 10, FALSE), 1)</f>
        <v>8.985058892171337E-4</v>
      </c>
      <c r="AA6" s="7">
        <f>$B6 * IFERROR(VLOOKUP("transport|NOx|Asthma symptoms cough", US_national_yearly!$D:$AM, 35, FALSE) / VLOOKUP("transport|NOx|Asthma symptoms cough", US_national_yearly!$D:$AM, 10, FALSE), 1)</f>
        <v>9.0259645314577815E-4</v>
      </c>
      <c r="AB6" s="7">
        <f>$B6 * IFERROR(VLOOKUP("transport|NOx|Asthma symptoms cough", US_national_yearly!$D:$AM, 36, FALSE) / VLOOKUP("transport|NOx|Asthma symptoms cough", US_national_yearly!$D:$AM, 10, FALSE), 1)</f>
        <v>9.0668701707442281E-4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1.04180485092099E-3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1.0560480265054447E-3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1.0702912020898994E-3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1.0845343776743541E-3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1.0987775532588088E-3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1.1101487386037962E-3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1.1215199239487837E-3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1.1254337233654044E-3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1.1293475227820249E-3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1.1332613221986456E-3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1.1371751216152663E-3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1.141088921031887E-3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1.1456272629207778E-3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1.1501656048096688E-3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1.1547039466985594E-3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1.1592422885874504E-3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1.1637806304763412E-3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1.1697091504510276E-3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1.1756376704257143E-3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1.1815661904004007E-3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1.1874947103750868E-3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1.1934232303497732E-3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1.1989316772452669E-3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1.2044401241407606E-3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1.2099485710362545E-3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1.2154570179317482E-3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1.2209654648272417E-3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1.5917626188997377E-3</v>
      </c>
      <c r="C8" s="7">
        <f>$B8 * IFERROR(VLOOKUP("transport|NOx|Asthma symptoms wheeze", US_national_yearly!$D:$AM, 11, FALSE) / VLOOKUP("transport|NOx|Asthma symptoms wheeze", US_national_yearly!$D:$AM, 10, FALSE), 1)</f>
        <v>1.6135246163589715E-3</v>
      </c>
      <c r="D8" s="7">
        <f>$B8 * IFERROR(VLOOKUP("transport|NOx|Asthma symptoms wheeze", US_national_yearly!$D:$AM, 12, FALSE) / VLOOKUP("transport|NOx|Asthma symptoms wheeze", US_national_yearly!$D:$AM, 10, FALSE), 1)</f>
        <v>1.635286613818206E-3</v>
      </c>
      <c r="E8" s="7">
        <f>$B8 * IFERROR(VLOOKUP("transport|NOx|Asthma symptoms wheeze", US_national_yearly!$D:$AM, 13, FALSE) / VLOOKUP("transport|NOx|Asthma symptoms wheeze", US_national_yearly!$D:$AM, 10, FALSE), 1)</f>
        <v>1.6570486112774396E-3</v>
      </c>
      <c r="F8" s="7">
        <f>$B8 * IFERROR(VLOOKUP("transport|NOx|Asthma symptoms wheeze", US_national_yearly!$D:$AM, 14, FALSE) / VLOOKUP("transport|NOx|Asthma symptoms wheeze", US_national_yearly!$D:$AM, 10, FALSE), 1)</f>
        <v>1.6788106087366735E-3</v>
      </c>
      <c r="G8" s="7">
        <f>$B8 * IFERROR(VLOOKUP("transport|NOx|Asthma symptoms wheeze", US_national_yearly!$D:$AM, 15, FALSE) / VLOOKUP("transport|NOx|Asthma symptoms wheeze", US_national_yearly!$D:$AM, 10, FALSE), 1)</f>
        <v>1.6961845226871211E-3</v>
      </c>
      <c r="H8" s="7">
        <f>$B8 * IFERROR(VLOOKUP("transport|NOx|Asthma symptoms wheeze", US_national_yearly!$D:$AM, 16, FALSE) / VLOOKUP("transport|NOx|Asthma symptoms wheeze", US_national_yearly!$D:$AM, 10, FALSE), 1)</f>
        <v>1.7135584366375686E-3</v>
      </c>
      <c r="I8" s="7">
        <f>$B8 * IFERROR(VLOOKUP("transport|NOx|Asthma symptoms wheeze", US_national_yearly!$D:$AM, 17, FALSE) / VLOOKUP("transport|NOx|Asthma symptoms wheeze", US_national_yearly!$D:$AM, 10, FALSE), 1)</f>
        <v>1.7195382894682448E-3</v>
      </c>
      <c r="J8" s="7">
        <f>$B8 * IFERROR(VLOOKUP("transport|NOx|Asthma symptoms wheeze", US_national_yearly!$D:$AM, 18, FALSE) / VLOOKUP("transport|NOx|Asthma symptoms wheeze", US_national_yearly!$D:$AM, 10, FALSE), 1)</f>
        <v>1.7255181422989214E-3</v>
      </c>
      <c r="K8" s="7">
        <f>$B8 * IFERROR(VLOOKUP("transport|NOx|Asthma symptoms wheeze", US_national_yearly!$D:$AM, 19, FALSE) / VLOOKUP("transport|NOx|Asthma symptoms wheeze", US_national_yearly!$D:$AM, 10, FALSE), 1)</f>
        <v>1.7314979951295975E-3</v>
      </c>
      <c r="L8" s="7">
        <f>$B8 * IFERROR(VLOOKUP("transport|NOx|Asthma symptoms wheeze", US_national_yearly!$D:$AM, 20, FALSE) / VLOOKUP("transport|NOx|Asthma symptoms wheeze", US_national_yearly!$D:$AM, 10, FALSE), 1)</f>
        <v>1.7374778479602739E-3</v>
      </c>
      <c r="M8" s="7">
        <f>$B8 * IFERROR(VLOOKUP("transport|NOx|Asthma symptoms wheeze", US_national_yearly!$D:$AM, 21, FALSE) / VLOOKUP("transport|NOx|Asthma symptoms wheeze", US_national_yearly!$D:$AM, 10, FALSE), 1)</f>
        <v>1.7434577007909501E-3</v>
      </c>
      <c r="N8" s="7">
        <f>$B8 * IFERROR(VLOOKUP("transport|NOx|Asthma symptoms wheeze", US_national_yearly!$D:$AM, 22, FALSE) / VLOOKUP("transport|NOx|Asthma symptoms wheeze", US_national_yearly!$D:$AM, 10, FALSE), 1)</f>
        <v>1.7503917854541989E-3</v>
      </c>
      <c r="O8" s="7">
        <f>$B8 * IFERROR(VLOOKUP("transport|NOx|Asthma symptoms wheeze", US_national_yearly!$D:$AM, 23, FALSE) / VLOOKUP("transport|NOx|Asthma symptoms wheeze", US_national_yearly!$D:$AM, 10, FALSE), 1)</f>
        <v>1.757325870117448E-3</v>
      </c>
      <c r="P8" s="7">
        <f>$B8 * IFERROR(VLOOKUP("transport|NOx|Asthma symptoms wheeze", US_national_yearly!$D:$AM, 24, FALSE) / VLOOKUP("transport|NOx|Asthma symptoms wheeze", US_national_yearly!$D:$AM, 10, FALSE), 1)</f>
        <v>1.7642599547806968E-3</v>
      </c>
      <c r="Q8" s="7">
        <f>$B8 * IFERROR(VLOOKUP("transport|NOx|Asthma symptoms wheeze", US_national_yearly!$D:$AM, 25, FALSE) / VLOOKUP("transport|NOx|Asthma symptoms wheeze", US_national_yearly!$D:$AM, 10, FALSE), 1)</f>
        <v>1.771194039443946E-3</v>
      </c>
      <c r="R8" s="7">
        <f>$B8 * IFERROR(VLOOKUP("transport|NOx|Asthma symptoms wheeze", US_national_yearly!$D:$AM, 26, FALSE) / VLOOKUP("transport|NOx|Asthma symptoms wheeze", US_national_yearly!$D:$AM, 10, FALSE), 1)</f>
        <v>1.7781281241071947E-3</v>
      </c>
      <c r="S8" s="7">
        <f>$B8 * IFERROR(VLOOKUP("transport|NOx|Asthma symptoms wheeze", US_national_yearly!$D:$AM, 27, FALSE) / VLOOKUP("transport|NOx|Asthma symptoms wheeze", US_national_yearly!$D:$AM, 10, FALSE), 1)</f>
        <v>1.7871862471616324E-3</v>
      </c>
      <c r="T8" s="7">
        <f>$B8 * IFERROR(VLOOKUP("transport|NOx|Asthma symptoms wheeze", US_national_yearly!$D:$AM, 28, FALSE) / VLOOKUP("transport|NOx|Asthma symptoms wheeze", US_national_yearly!$D:$AM, 10, FALSE), 1)</f>
        <v>1.7962443702160698E-3</v>
      </c>
      <c r="U8" s="7">
        <f>$B8 * IFERROR(VLOOKUP("transport|NOx|Asthma symptoms wheeze", US_national_yearly!$D:$AM, 29, FALSE) / VLOOKUP("transport|NOx|Asthma symptoms wheeze", US_national_yearly!$D:$AM, 10, FALSE), 1)</f>
        <v>1.8053024932705075E-3</v>
      </c>
      <c r="V8" s="7">
        <f>$B8 * IFERROR(VLOOKUP("transport|NOx|Asthma symptoms wheeze", US_national_yearly!$D:$AM, 30, FALSE) / VLOOKUP("transport|NOx|Asthma symptoms wheeze", US_national_yearly!$D:$AM, 10, FALSE), 1)</f>
        <v>1.8143606163249454E-3</v>
      </c>
      <c r="W8" s="7">
        <f>$B8 * IFERROR(VLOOKUP("transport|NOx|Asthma symptoms wheeze", US_national_yearly!$D:$AM, 31, FALSE) / VLOOKUP("transport|NOx|Asthma symptoms wheeze", US_national_yearly!$D:$AM, 10, FALSE), 1)</f>
        <v>1.8234187393793826E-3</v>
      </c>
      <c r="X8" s="7">
        <f>$B8 * IFERROR(VLOOKUP("transport|NOx|Asthma symptoms wheeze", US_national_yearly!$D:$AM, 32, FALSE) / VLOOKUP("transport|NOx|Asthma symptoms wheeze", US_national_yearly!$D:$AM, 10, FALSE), 1)</f>
        <v>1.8318350372154679E-3</v>
      </c>
      <c r="Y8" s="7">
        <f>$B8 * IFERROR(VLOOKUP("transport|NOx|Asthma symptoms wheeze", US_national_yearly!$D:$AM, 33, FALSE) / VLOOKUP("transport|NOx|Asthma symptoms wheeze", US_national_yearly!$D:$AM, 10, FALSE), 1)</f>
        <v>1.8402513350515527E-3</v>
      </c>
      <c r="Z8" s="7">
        <f>$B8 * IFERROR(VLOOKUP("transport|NOx|Asthma symptoms wheeze", US_national_yearly!$D:$AM, 34, FALSE) / VLOOKUP("transport|NOx|Asthma symptoms wheeze", US_national_yearly!$D:$AM, 10, FALSE), 1)</f>
        <v>1.8486676328876379E-3</v>
      </c>
      <c r="AA8" s="7">
        <f>$B8 * IFERROR(VLOOKUP("transport|NOx|Asthma symptoms wheeze", US_national_yearly!$D:$AM, 35, FALSE) / VLOOKUP("transport|NOx|Asthma symptoms wheeze", US_national_yearly!$D:$AM, 10, FALSE), 1)</f>
        <v>1.8570839307237227E-3</v>
      </c>
      <c r="AB8" s="7">
        <f>$B8 * IFERROR(VLOOKUP("transport|NOx|Asthma symptoms wheeze", US_national_yearly!$D:$AM, 36, FALSE) / VLOOKUP("transport|NOx|Asthma symptoms wheeze", US_national_yearly!$D:$AM, 10, FALSE), 1)</f>
        <v>1.865500228559808E-3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2.0403570208424319E-5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2.0912530426009267E-5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2.1421490643594218E-5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2.1930450861179169E-5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2.2439411078764124E-5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2.2925994369719101E-5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2.3412577660674078E-5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2.3825696877834989E-5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2.4238816094995897E-5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2.4651935312156811E-5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2.5065054529317722E-5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2.5478173746478633E-5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2.5754351381180166E-5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2.6030529015881709E-5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2.6306706650583245E-5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2.6582884285284788E-5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2.6859061919986325E-5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2.7007030413112354E-5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2.715499890623838E-5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2.7302967399364409E-5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2.7450935892490431E-5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2.7598904385616464E-5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2.7700021627121588E-5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2.7801138868626718E-5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2.7902256110131846E-5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2.8003373351636976E-5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2.81044905931421E-5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8.7080499487176663E-5</v>
      </c>
      <c r="C13" s="7">
        <f>$B13 * IFERROR(VLOOKUP("transport|NOx|Non-fatal heart attacks", US_national_yearly!$D:$AM, 11, FALSE) / VLOOKUP("transport|NOx|Non-fatal heart attacks", US_national_yearly!$D:$AM, 10, FALSE), 1)</f>
        <v>8.9570054244699903E-5</v>
      </c>
      <c r="D13" s="7">
        <f>$B13 * IFERROR(VLOOKUP("transport|NOx|Non-fatal heart attacks", US_national_yearly!$D:$AM, 12, FALSE) / VLOOKUP("transport|NOx|Non-fatal heart attacks", US_national_yearly!$D:$AM, 10, FALSE), 1)</f>
        <v>9.2059609002223143E-5</v>
      </c>
      <c r="E13" s="7">
        <f>$B13 * IFERROR(VLOOKUP("transport|NOx|Non-fatal heart attacks", US_national_yearly!$D:$AM, 13, FALSE) / VLOOKUP("transport|NOx|Non-fatal heart attacks", US_national_yearly!$D:$AM, 10, FALSE), 1)</f>
        <v>9.4549163759746356E-5</v>
      </c>
      <c r="F13" s="7">
        <f>$B13 * IFERROR(VLOOKUP("transport|NOx|Non-fatal heart attacks", US_national_yearly!$D:$AM, 14, FALSE) / VLOOKUP("transport|NOx|Non-fatal heart attacks", US_national_yearly!$D:$AM, 10, FALSE), 1)</f>
        <v>9.7038718517269596E-5</v>
      </c>
      <c r="G13" s="7">
        <f>$B13 * IFERROR(VLOOKUP("transport|NOx|Non-fatal heart attacks", US_national_yearly!$D:$AM, 15, FALSE) / VLOOKUP("transport|NOx|Non-fatal heart attacks", US_national_yearly!$D:$AM, 10, FALSE), 1)</f>
        <v>9.9365202264016118E-5</v>
      </c>
      <c r="H13" s="7">
        <f>$B13 * IFERROR(VLOOKUP("transport|NOx|Non-fatal heart attacks", US_national_yearly!$D:$AM, 16, FALSE) / VLOOKUP("transport|NOx|Non-fatal heart attacks", US_national_yearly!$D:$AM, 10, FALSE), 1)</f>
        <v>1.0169168601076263E-4</v>
      </c>
      <c r="I13" s="7">
        <f>$B13 * IFERROR(VLOOKUP("transport|NOx|Non-fatal heart attacks", US_national_yearly!$D:$AM, 17, FALSE) / VLOOKUP("transport|NOx|Non-fatal heart attacks", US_national_yearly!$D:$AM, 10, FALSE), 1)</f>
        <v>1.0352585250258745E-4</v>
      </c>
      <c r="J13" s="7">
        <f>$B13 * IFERROR(VLOOKUP("transport|NOx|Non-fatal heart attacks", US_national_yearly!$D:$AM, 18, FALSE) / VLOOKUP("transport|NOx|Non-fatal heart attacks", US_national_yearly!$D:$AM, 10, FALSE), 1)</f>
        <v>1.0536001899441231E-4</v>
      </c>
      <c r="K13" s="7">
        <f>$B13 * IFERROR(VLOOKUP("transport|NOx|Non-fatal heart attacks", US_national_yearly!$D:$AM, 19, FALSE) / VLOOKUP("transport|NOx|Non-fatal heart attacks", US_national_yearly!$D:$AM, 10, FALSE), 1)</f>
        <v>1.0719418548623708E-4</v>
      </c>
      <c r="L13" s="7">
        <f>$B13 * IFERROR(VLOOKUP("transport|NOx|Non-fatal heart attacks", US_national_yearly!$D:$AM, 20, FALSE) / VLOOKUP("transport|NOx|Non-fatal heart attacks", US_national_yearly!$D:$AM, 10, FALSE), 1)</f>
        <v>1.0902835197806197E-4</v>
      </c>
      <c r="M13" s="7">
        <f>$B13 * IFERROR(VLOOKUP("transport|NOx|Non-fatal heart attacks", US_national_yearly!$D:$AM, 21, FALSE) / VLOOKUP("transport|NOx|Non-fatal heart attacks", US_national_yearly!$D:$AM, 10, FALSE), 1)</f>
        <v>1.1086251846988678E-4</v>
      </c>
      <c r="N13" s="7">
        <f>$B13 * IFERROR(VLOOKUP("transport|NOx|Non-fatal heart attacks", US_national_yearly!$D:$AM, 22, FALSE) / VLOOKUP("transport|NOx|Non-fatal heart attacks", US_national_yearly!$D:$AM, 10, FALSE), 1)</f>
        <v>1.119660086553613E-4</v>
      </c>
      <c r="O13" s="7">
        <f>$B13 * IFERROR(VLOOKUP("transport|NOx|Non-fatal heart attacks", US_national_yearly!$D:$AM, 23, FALSE) / VLOOKUP("transport|NOx|Non-fatal heart attacks", US_national_yearly!$D:$AM, 10, FALSE), 1)</f>
        <v>1.1306949884083582E-4</v>
      </c>
      <c r="P13" s="7">
        <f>$B13 * IFERROR(VLOOKUP("transport|NOx|Non-fatal heart attacks", US_national_yearly!$D:$AM, 24, FALSE) / VLOOKUP("transport|NOx|Non-fatal heart attacks", US_national_yearly!$D:$AM, 10, FALSE), 1)</f>
        <v>1.1417298902631032E-4</v>
      </c>
      <c r="Q13" s="7">
        <f>$B13 * IFERROR(VLOOKUP("transport|NOx|Non-fatal heart attacks", US_national_yearly!$D:$AM, 25, FALSE) / VLOOKUP("transport|NOx|Non-fatal heart attacks", US_national_yearly!$D:$AM, 10, FALSE), 1)</f>
        <v>1.1527647921178485E-4</v>
      </c>
      <c r="R13" s="7">
        <f>$B13 * IFERROR(VLOOKUP("transport|NOx|Non-fatal heart attacks", US_national_yearly!$D:$AM, 26, FALSE) / VLOOKUP("transport|NOx|Non-fatal heart attacks", US_national_yearly!$D:$AM, 10, FALSE), 1)</f>
        <v>1.1637996939725937E-4</v>
      </c>
      <c r="S13" s="7">
        <f>$B13 * IFERROR(VLOOKUP("transport|NOx|Non-fatal heart attacks", US_national_yearly!$D:$AM, 27, FALSE) / VLOOKUP("transport|NOx|Non-fatal heart attacks", US_national_yearly!$D:$AM, 10, FALSE), 1)</f>
        <v>1.1688052017753925E-4</v>
      </c>
      <c r="T13" s="7">
        <f>$B13 * IFERROR(VLOOKUP("transport|NOx|Non-fatal heart attacks", US_national_yearly!$D:$AM, 28, FALSE) / VLOOKUP("transport|NOx|Non-fatal heart attacks", US_national_yearly!$D:$AM, 10, FALSE), 1)</f>
        <v>1.1738107095781912E-4</v>
      </c>
      <c r="U13" s="7">
        <f>$B13 * IFERROR(VLOOKUP("transport|NOx|Non-fatal heart attacks", US_national_yearly!$D:$AM, 29, FALSE) / VLOOKUP("transport|NOx|Non-fatal heart attacks", US_national_yearly!$D:$AM, 10, FALSE), 1)</f>
        <v>1.17881621738099E-4</v>
      </c>
      <c r="V13" s="7">
        <f>$B13 * IFERROR(VLOOKUP("transport|NOx|Non-fatal heart attacks", US_national_yearly!$D:$AM, 30, FALSE) / VLOOKUP("transport|NOx|Non-fatal heart attacks", US_national_yearly!$D:$AM, 10, FALSE), 1)</f>
        <v>1.1838217251837887E-4</v>
      </c>
      <c r="W13" s="7">
        <f>$B13 * IFERROR(VLOOKUP("transport|NOx|Non-fatal heart attacks", US_national_yearly!$D:$AM, 31, FALSE) / VLOOKUP("transport|NOx|Non-fatal heart attacks", US_national_yearly!$D:$AM, 10, FALSE), 1)</f>
        <v>1.1888272329865875E-4</v>
      </c>
      <c r="X13" s="7">
        <f>$B13 * IFERROR(VLOOKUP("transport|NOx|Non-fatal heart attacks", US_national_yearly!$D:$AM, 32, FALSE) / VLOOKUP("transport|NOx|Non-fatal heart attacks", US_national_yearly!$D:$AM, 10, FALSE), 1)</f>
        <v>1.1921721766812808E-4</v>
      </c>
      <c r="Y13" s="7">
        <f>$B13 * IFERROR(VLOOKUP("transport|NOx|Non-fatal heart attacks", US_national_yearly!$D:$AM, 33, FALSE) / VLOOKUP("transport|NOx|Non-fatal heart attacks", US_national_yearly!$D:$AM, 10, FALSE), 1)</f>
        <v>1.1955171203759744E-4</v>
      </c>
      <c r="Z13" s="7">
        <f>$B13 * IFERROR(VLOOKUP("transport|NOx|Non-fatal heart attacks", US_national_yearly!$D:$AM, 34, FALSE) / VLOOKUP("transport|NOx|Non-fatal heart attacks", US_national_yearly!$D:$AM, 10, FALSE), 1)</f>
        <v>1.1988620640706676E-4</v>
      </c>
      <c r="AA13" s="7">
        <f>$B13 * IFERROR(VLOOKUP("transport|NOx|Non-fatal heart attacks", US_national_yearly!$D:$AM, 35, FALSE) / VLOOKUP("transport|NOx|Non-fatal heart attacks", US_national_yearly!$D:$AM, 10, FALSE), 1)</f>
        <v>1.2022070077653609E-4</v>
      </c>
      <c r="AB13" s="7">
        <f>$B13 * IFERROR(VLOOKUP("transport|NOx|Non-fatal heart attacks", US_national_yearly!$D:$AM, 36, FALSE) / VLOOKUP("transport|NOx|Non-fatal heart attacks", US_national_yearly!$D:$AM, 10, FALSE), 1)</f>
        <v>1.2055519514600545E-4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8.6253808779303554E-2</v>
      </c>
      <c r="C14" s="7">
        <f>$B14 * IFERROR(VLOOKUP("transport|NOx|Minor restricted activity days", US_national_yearly!$D:$AM, 11, FALSE) / VLOOKUP("transport|NOx|Minor restricted activity days", US_national_yearly!$D:$AM, 10, FALSE), 1)</f>
        <v>8.6386050343157592E-2</v>
      </c>
      <c r="D14" s="7">
        <f>$B14 * IFERROR(VLOOKUP("transport|NOx|Minor restricted activity days", US_national_yearly!$D:$AM, 12, FALSE) / VLOOKUP("transport|NOx|Minor restricted activity days", US_national_yearly!$D:$AM, 10, FALSE), 1)</f>
        <v>8.6518291907011644E-2</v>
      </c>
      <c r="E14" s="7">
        <f>$B14 * IFERROR(VLOOKUP("transport|NOx|Minor restricted activity days", US_national_yearly!$D:$AM, 13, FALSE) / VLOOKUP("transport|NOx|Minor restricted activity days", US_national_yearly!$D:$AM, 10, FALSE), 1)</f>
        <v>8.6650533470865695E-2</v>
      </c>
      <c r="F14" s="7">
        <f>$B14 * IFERROR(VLOOKUP("transport|NOx|Minor restricted activity days", US_national_yearly!$D:$AM, 14, FALSE) / VLOOKUP("transport|NOx|Minor restricted activity days", US_national_yearly!$D:$AM, 10, FALSE), 1)</f>
        <v>8.678277503471972E-2</v>
      </c>
      <c r="G14" s="7">
        <f>$B14 * IFERROR(VLOOKUP("transport|NOx|Minor restricted activity days", US_national_yearly!$D:$AM, 15, FALSE) / VLOOKUP("transport|NOx|Minor restricted activity days", US_national_yearly!$D:$AM, 10, FALSE), 1)</f>
        <v>8.7021571822843216E-2</v>
      </c>
      <c r="H14" s="7">
        <f>$B14 * IFERROR(VLOOKUP("transport|NOx|Minor restricted activity days", US_national_yearly!$D:$AM, 16, FALSE) / VLOOKUP("transport|NOx|Minor restricted activity days", US_national_yearly!$D:$AM, 10, FALSE), 1)</f>
        <v>8.7260368610966685E-2</v>
      </c>
      <c r="I14" s="7">
        <f>$B14 * IFERROR(VLOOKUP("transport|NOx|Minor restricted activity days", US_national_yearly!$D:$AM, 17, FALSE) / VLOOKUP("transport|NOx|Minor restricted activity days", US_national_yearly!$D:$AM, 10, FALSE), 1)</f>
        <v>8.7727445685534117E-2</v>
      </c>
      <c r="J14" s="7">
        <f>$B14 * IFERROR(VLOOKUP("transport|NOx|Minor restricted activity days", US_national_yearly!$D:$AM, 18, FALSE) / VLOOKUP("transport|NOx|Minor restricted activity days", US_national_yearly!$D:$AM, 10, FALSE), 1)</f>
        <v>8.8194522760101521E-2</v>
      </c>
      <c r="K14" s="7">
        <f>$B14 * IFERROR(VLOOKUP("transport|NOx|Minor restricted activity days", US_national_yearly!$D:$AM, 19, FALSE) / VLOOKUP("transport|NOx|Minor restricted activity days", US_national_yearly!$D:$AM, 10, FALSE), 1)</f>
        <v>8.8661599834668953E-2</v>
      </c>
      <c r="L14" s="7">
        <f>$B14 * IFERROR(VLOOKUP("transport|NOx|Minor restricted activity days", US_national_yearly!$D:$AM, 20, FALSE) / VLOOKUP("transport|NOx|Minor restricted activity days", US_national_yearly!$D:$AM, 10, FALSE), 1)</f>
        <v>8.9128676909236357E-2</v>
      </c>
      <c r="M14" s="7">
        <f>$B14 * IFERROR(VLOOKUP("transport|NOx|Minor restricted activity days", US_national_yearly!$D:$AM, 21, FALSE) / VLOOKUP("transport|NOx|Minor restricted activity days", US_national_yearly!$D:$AM, 10, FALSE), 1)</f>
        <v>8.9595753983803789E-2</v>
      </c>
      <c r="N14" s="7">
        <f>$B14 * IFERROR(VLOOKUP("transport|NOx|Minor restricted activity days", US_national_yearly!$D:$AM, 22, FALSE) / VLOOKUP("transport|NOx|Minor restricted activity days", US_national_yearly!$D:$AM, 10, FALSE), 1)</f>
        <v>9.0264502447151576E-2</v>
      </c>
      <c r="O14" s="7">
        <f>$B14 * IFERROR(VLOOKUP("transport|NOx|Minor restricted activity days", US_national_yearly!$D:$AM, 23, FALSE) / VLOOKUP("transport|NOx|Minor restricted activity days", US_national_yearly!$D:$AM, 10, FALSE), 1)</f>
        <v>9.0933250910499364E-2</v>
      </c>
      <c r="P14" s="7">
        <f>$B14 * IFERROR(VLOOKUP("transport|NOx|Minor restricted activity days", US_national_yearly!$D:$AM, 24, FALSE) / VLOOKUP("transport|NOx|Minor restricted activity days", US_national_yearly!$D:$AM, 10, FALSE), 1)</f>
        <v>9.1601999373847151E-2</v>
      </c>
      <c r="Q14" s="7">
        <f>$B14 * IFERROR(VLOOKUP("transport|NOx|Minor restricted activity days", US_national_yearly!$D:$AM, 25, FALSE) / VLOOKUP("transport|NOx|Minor restricted activity days", US_national_yearly!$D:$AM, 10, FALSE), 1)</f>
        <v>9.2270747837194939E-2</v>
      </c>
      <c r="R14" s="7">
        <f>$B14 * IFERROR(VLOOKUP("transport|NOx|Minor restricted activity days", US_national_yearly!$D:$AM, 26, FALSE) / VLOOKUP("transport|NOx|Minor restricted activity days", US_national_yearly!$D:$AM, 10, FALSE), 1)</f>
        <v>9.2939496300542726E-2</v>
      </c>
      <c r="S14" s="7">
        <f>$B14 * IFERROR(VLOOKUP("transport|NOx|Minor restricted activity days", US_national_yearly!$D:$AM, 27, FALSE) / VLOOKUP("transport|NOx|Minor restricted activity days", US_national_yearly!$D:$AM, 10, FALSE), 1)</f>
        <v>9.3608104160957439E-2</v>
      </c>
      <c r="T14" s="7">
        <f>$B14 * IFERROR(VLOOKUP("transport|NOx|Minor restricted activity days", US_national_yearly!$D:$AM, 28, FALSE) / VLOOKUP("transport|NOx|Minor restricted activity days", US_national_yearly!$D:$AM, 10, FALSE), 1)</f>
        <v>9.4276712021372139E-2</v>
      </c>
      <c r="U14" s="7">
        <f>$B14 * IFERROR(VLOOKUP("transport|NOx|Minor restricted activity days", US_national_yearly!$D:$AM, 29, FALSE) / VLOOKUP("transport|NOx|Minor restricted activity days", US_national_yearly!$D:$AM, 10, FALSE), 1)</f>
        <v>9.4945319881786852E-2</v>
      </c>
      <c r="V14" s="7">
        <f>$B14 * IFERROR(VLOOKUP("transport|NOx|Minor restricted activity days", US_national_yearly!$D:$AM, 30, FALSE) / VLOOKUP("transport|NOx|Minor restricted activity days", US_national_yearly!$D:$AM, 10, FALSE), 1)</f>
        <v>9.5613927742201579E-2</v>
      </c>
      <c r="W14" s="7">
        <f>$B14 * IFERROR(VLOOKUP("transport|NOx|Minor restricted activity days", US_national_yearly!$D:$AM, 31, FALSE) / VLOOKUP("transport|NOx|Minor restricted activity days", US_national_yearly!$D:$AM, 10, FALSE), 1)</f>
        <v>9.6282535602616279E-2</v>
      </c>
      <c r="X14" s="7">
        <f>$B14 * IFERROR(VLOOKUP("transport|NOx|Minor restricted activity days", US_national_yearly!$D:$AM, 32, FALSE) / VLOOKUP("transport|NOx|Minor restricted activity days", US_national_yearly!$D:$AM, 10, FALSE), 1)</f>
        <v>9.6847818077425624E-2</v>
      </c>
      <c r="Y14" s="7">
        <f>$B14 * IFERROR(VLOOKUP("transport|NOx|Minor restricted activity days", US_national_yearly!$D:$AM, 33, FALSE) / VLOOKUP("transport|NOx|Minor restricted activity days", US_national_yearly!$D:$AM, 10, FALSE), 1)</f>
        <v>9.7413100552234969E-2</v>
      </c>
      <c r="Z14" s="7">
        <f>$B14 * IFERROR(VLOOKUP("transport|NOx|Minor restricted activity days", US_national_yearly!$D:$AM, 34, FALSE) / VLOOKUP("transport|NOx|Minor restricted activity days", US_national_yearly!$D:$AM, 10, FALSE), 1)</f>
        <v>9.79783830270443E-2</v>
      </c>
      <c r="AA14" s="7">
        <f>$B14 * IFERROR(VLOOKUP("transport|NOx|Minor restricted activity days", US_national_yearly!$D:$AM, 35, FALSE) / VLOOKUP("transport|NOx|Minor restricted activity days", US_national_yearly!$D:$AM, 10, FALSE), 1)</f>
        <v>9.8543665501853644E-2</v>
      </c>
      <c r="AB14" s="7">
        <f>$B14 * IFERROR(VLOOKUP("transport|NOx|Minor restricted activity days", US_national_yearly!$D:$AM, 36, FALSE) / VLOOKUP("transport|NOx|Minor restricted activity days", US_national_yearly!$D:$AM, 10, FALSE), 1)</f>
        <v>9.9108947976662989E-2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1.4646959986055981E-2</v>
      </c>
      <c r="C15" s="7">
        <f>$B15 * IFERROR(VLOOKUP("transport|NOx|Work loss days", US_national_yearly!$D:$AM, 11, FALSE) / VLOOKUP("transport|NOx|Work loss days", US_national_yearly!$D:$AM, 10, FALSE), 1)</f>
        <v>1.4679541360588289E-2</v>
      </c>
      <c r="D15" s="7">
        <f>$B15 * IFERROR(VLOOKUP("transport|NOx|Work loss days", US_national_yearly!$D:$AM, 12, FALSE) / VLOOKUP("transport|NOx|Work loss days", US_national_yearly!$D:$AM, 10, FALSE), 1)</f>
        <v>1.4712122735120601E-2</v>
      </c>
      <c r="E15" s="7">
        <f>$B15 * IFERROR(VLOOKUP("transport|NOx|Work loss days", US_national_yearly!$D:$AM, 13, FALSE) / VLOOKUP("transport|NOx|Work loss days", US_national_yearly!$D:$AM, 10, FALSE), 1)</f>
        <v>1.4744704109652909E-2</v>
      </c>
      <c r="F15" s="7">
        <f>$B15 * IFERROR(VLOOKUP("transport|NOx|Work loss days", US_national_yearly!$D:$AM, 14, FALSE) / VLOOKUP("transport|NOx|Work loss days", US_national_yearly!$D:$AM, 10, FALSE), 1)</f>
        <v>1.4777285484185219E-2</v>
      </c>
      <c r="G15" s="7">
        <f>$B15 * IFERROR(VLOOKUP("transport|NOx|Work loss days", US_national_yearly!$D:$AM, 15, FALSE) / VLOOKUP("transport|NOx|Work loss days", US_national_yearly!$D:$AM, 10, FALSE), 1)</f>
        <v>1.4824854568935982E-2</v>
      </c>
      <c r="H15" s="7">
        <f>$B15 * IFERROR(VLOOKUP("transport|NOx|Work loss days", US_national_yearly!$D:$AM, 16, FALSE) / VLOOKUP("transport|NOx|Work loss days", US_national_yearly!$D:$AM, 10, FALSE), 1)</f>
        <v>1.4872423653686748E-2</v>
      </c>
      <c r="I15" s="7">
        <f>$B15 * IFERROR(VLOOKUP("transport|NOx|Work loss days", US_national_yearly!$D:$AM, 17, FALSE) / VLOOKUP("transport|NOx|Work loss days", US_national_yearly!$D:$AM, 10, FALSE), 1)</f>
        <v>1.4949482992918558E-2</v>
      </c>
      <c r="J15" s="7">
        <f>$B15 * IFERROR(VLOOKUP("transport|NOx|Work loss days", US_national_yearly!$D:$AM, 18, FALSE) / VLOOKUP("transport|NOx|Work loss days", US_national_yearly!$D:$AM, 10, FALSE), 1)</f>
        <v>1.5026542332150372E-2</v>
      </c>
      <c r="K15" s="7">
        <f>$B15 * IFERROR(VLOOKUP("transport|NOx|Work loss days", US_national_yearly!$D:$AM, 19, FALSE) / VLOOKUP("transport|NOx|Work loss days", US_national_yearly!$D:$AM, 10, FALSE), 1)</f>
        <v>1.5103601671382182E-2</v>
      </c>
      <c r="L15" s="7">
        <f>$B15 * IFERROR(VLOOKUP("transport|NOx|Work loss days", US_national_yearly!$D:$AM, 20, FALSE) / VLOOKUP("transport|NOx|Work loss days", US_national_yearly!$D:$AM, 10, FALSE), 1)</f>
        <v>1.5180661010613992E-2</v>
      </c>
      <c r="M15" s="7">
        <f>$B15 * IFERROR(VLOOKUP("transport|NOx|Work loss days", US_national_yearly!$D:$AM, 21, FALSE) / VLOOKUP("transport|NOx|Work loss days", US_national_yearly!$D:$AM, 10, FALSE), 1)</f>
        <v>1.5257720349845806E-2</v>
      </c>
      <c r="N15" s="7">
        <f>$B15 * IFERROR(VLOOKUP("transport|NOx|Work loss days", US_national_yearly!$D:$AM, 22, FALSE) / VLOOKUP("transport|NOx|Work loss days", US_national_yearly!$D:$AM, 10, FALSE), 1)</f>
        <v>1.5358008351284327E-2</v>
      </c>
      <c r="O15" s="7">
        <f>$B15 * IFERROR(VLOOKUP("transport|NOx|Work loss days", US_national_yearly!$D:$AM, 23, FALSE) / VLOOKUP("transport|NOx|Work loss days", US_national_yearly!$D:$AM, 10, FALSE), 1)</f>
        <v>1.5458296352722847E-2</v>
      </c>
      <c r="P15" s="7">
        <f>$B15 * IFERROR(VLOOKUP("transport|NOx|Work loss days", US_national_yearly!$D:$AM, 24, FALSE) / VLOOKUP("transport|NOx|Work loss days", US_national_yearly!$D:$AM, 10, FALSE), 1)</f>
        <v>1.5558584354161369E-2</v>
      </c>
      <c r="Q15" s="7">
        <f>$B15 * IFERROR(VLOOKUP("transport|NOx|Work loss days", US_national_yearly!$D:$AM, 25, FALSE) / VLOOKUP("transport|NOx|Work loss days", US_national_yearly!$D:$AM, 10, FALSE), 1)</f>
        <v>1.5658872355599887E-2</v>
      </c>
      <c r="R15" s="7">
        <f>$B15 * IFERROR(VLOOKUP("transport|NOx|Work loss days", US_national_yearly!$D:$AM, 26, FALSE) / VLOOKUP("transport|NOx|Work loss days", US_national_yearly!$D:$AM, 10, FALSE), 1)</f>
        <v>1.5759160357038414E-2</v>
      </c>
      <c r="S15" s="7">
        <f>$B15 * IFERROR(VLOOKUP("transport|NOx|Work loss days", US_national_yearly!$D:$AM, 27, FALSE) / VLOOKUP("transport|NOx|Work loss days", US_national_yearly!$D:$AM, 10, FALSE), 1)</f>
        <v>1.5870968655617455E-2</v>
      </c>
      <c r="T15" s="7">
        <f>$B15 * IFERROR(VLOOKUP("transport|NOx|Work loss days", US_national_yearly!$D:$AM, 28, FALSE) / VLOOKUP("transport|NOx|Work loss days", US_national_yearly!$D:$AM, 10, FALSE), 1)</f>
        <v>1.5982776954196497E-2</v>
      </c>
      <c r="U15" s="7">
        <f>$B15 * IFERROR(VLOOKUP("transport|NOx|Work loss days", US_national_yearly!$D:$AM, 29, FALSE) / VLOOKUP("transport|NOx|Work loss days", US_national_yearly!$D:$AM, 10, FALSE), 1)</f>
        <v>1.6094585252775535E-2</v>
      </c>
      <c r="V15" s="7">
        <f>$B15 * IFERROR(VLOOKUP("transport|NOx|Work loss days", US_national_yearly!$D:$AM, 30, FALSE) / VLOOKUP("transport|NOx|Work loss days", US_national_yearly!$D:$AM, 10, FALSE), 1)</f>
        <v>1.6206393551354576E-2</v>
      </c>
      <c r="W15" s="7">
        <f>$B15 * IFERROR(VLOOKUP("transport|NOx|Work loss days", US_national_yearly!$D:$AM, 31, FALSE) / VLOOKUP("transport|NOx|Work loss days", US_national_yearly!$D:$AM, 10, FALSE), 1)</f>
        <v>1.6318201849933617E-2</v>
      </c>
      <c r="X15" s="7">
        <f>$B15 * IFERROR(VLOOKUP("transport|NOx|Work loss days", US_national_yearly!$D:$AM, 32, FALSE) / VLOOKUP("transport|NOx|Work loss days", US_national_yearly!$D:$AM, 10, FALSE), 1)</f>
        <v>1.6415245491846177E-2</v>
      </c>
      <c r="Y15" s="7">
        <f>$B15 * IFERROR(VLOOKUP("transport|NOx|Work loss days", US_national_yearly!$D:$AM, 33, FALSE) / VLOOKUP("transport|NOx|Work loss days", US_national_yearly!$D:$AM, 10, FALSE), 1)</f>
        <v>1.6512289133758733E-2</v>
      </c>
      <c r="Z15" s="7">
        <f>$B15 * IFERROR(VLOOKUP("transport|NOx|Work loss days", US_national_yearly!$D:$AM, 34, FALSE) / VLOOKUP("transport|NOx|Work loss days", US_national_yearly!$D:$AM, 10, FALSE), 1)</f>
        <v>1.6609332775671292E-2</v>
      </c>
      <c r="AA15" s="7">
        <f>$B15 * IFERROR(VLOOKUP("transport|NOx|Work loss days", US_national_yearly!$D:$AM, 35, FALSE) / VLOOKUP("transport|NOx|Work loss days", US_national_yearly!$D:$AM, 10, FALSE), 1)</f>
        <v>1.6706376417583851E-2</v>
      </c>
      <c r="AB15" s="7">
        <f>$B15 * IFERROR(VLOOKUP("transport|NOx|Work loss days", US_national_yearly!$D:$AM, 36, FALSE) / VLOOKUP("transport|NOx|Work loss days", US_national_yearly!$D:$AM, 10, FALSE), 1)</f>
        <v>1.6803420059496407E-2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2.5087903321978395E-5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2.5825102121634124E-5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2.6562300921289844E-5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2.7299499720945567E-5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2.8036698520601296E-5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2.8736915466318722E-5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2.9437132412036152E-5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3.0025960844696133E-5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3.0614789277356114E-5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3.1203617710016092E-5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3.1792446142676076E-5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3.238127457533606E-5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3.2749488504982343E-5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3.311770243462864E-5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3.3485916364274923E-5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3.3854130293921219E-5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3.4222344223567502E-5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3.4390350128333601E-5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3.4558356033099693E-5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3.4726361937865786E-5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3.4894367842631878E-5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3.506237374739797E-5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3.5155874858100309E-5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3.5249375968802654E-5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3.5342877079504993E-5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3.5436378190207332E-5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3.5529879300909677E-5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8.1472381508595993E-4</v>
      </c>
      <c r="C2" s="7">
        <f>$B2 * IFERROR(VLOOKUP("transport|SO2|Premature mortality", US_national_yearly!$D:$AM, 11, FALSE) / VLOOKUP("transport|SO2|Premature mortality", US_national_yearly!$D:$AM, 10, FALSE), 1)</f>
        <v>8.2504185138594633E-4</v>
      </c>
      <c r="D2" s="7">
        <f>$B2 * IFERROR(VLOOKUP("transport|SO2|Premature mortality", US_national_yearly!$D:$AM, 12, FALSE) / VLOOKUP("transport|SO2|Premature mortality", US_national_yearly!$D:$AM, 10, FALSE), 1)</f>
        <v>8.3535988768593283E-4</v>
      </c>
      <c r="E2" s="7">
        <f>$B2 * IFERROR(VLOOKUP("transport|SO2|Premature mortality", US_national_yearly!$D:$AM, 13, FALSE) / VLOOKUP("transport|SO2|Premature mortality", US_national_yearly!$D:$AM, 10, FALSE), 1)</f>
        <v>8.4567792398591911E-4</v>
      </c>
      <c r="F2" s="7">
        <f>$B2 * IFERROR(VLOOKUP("transport|SO2|Premature mortality", US_national_yearly!$D:$AM, 14, FALSE) / VLOOKUP("transport|SO2|Premature mortality", US_national_yearly!$D:$AM, 10, FALSE), 1)</f>
        <v>8.559959602859055E-4</v>
      </c>
      <c r="G2" s="7">
        <f>$B2 * IFERROR(VLOOKUP("transport|SO2|Premature mortality", US_national_yearly!$D:$AM, 15, FALSE) / VLOOKUP("transport|SO2|Premature mortality", US_national_yearly!$D:$AM, 10, FALSE), 1)</f>
        <v>8.7587823147311961E-4</v>
      </c>
      <c r="H2" s="7">
        <f>$B2 * IFERROR(VLOOKUP("transport|SO2|Premature mortality", US_national_yearly!$D:$AM, 16, FALSE) / VLOOKUP("transport|SO2|Premature mortality", US_national_yearly!$D:$AM, 10, FALSE), 1)</f>
        <v>8.9576050266033361E-4</v>
      </c>
      <c r="I2" s="7">
        <f>$B2 * IFERROR(VLOOKUP("transport|SO2|Premature mortality", US_national_yearly!$D:$AM, 17, FALSE) / VLOOKUP("transport|SO2|Premature mortality", US_national_yearly!$D:$AM, 10, FALSE), 1)</f>
        <v>9.088999257275156E-4</v>
      </c>
      <c r="J2" s="7">
        <f>$B2 * IFERROR(VLOOKUP("transport|SO2|Premature mortality", US_national_yearly!$D:$AM, 18, FALSE) / VLOOKUP("transport|SO2|Premature mortality", US_national_yearly!$D:$AM, 10, FALSE), 1)</f>
        <v>9.220393487946977E-4</v>
      </c>
      <c r="K2" s="7">
        <f>$B2 * IFERROR(VLOOKUP("transport|SO2|Premature mortality", US_national_yearly!$D:$AM, 19, FALSE) / VLOOKUP("transport|SO2|Premature mortality", US_national_yearly!$D:$AM, 10, FALSE), 1)</f>
        <v>9.3517877186187958E-4</v>
      </c>
      <c r="L2" s="7">
        <f>$B2 * IFERROR(VLOOKUP("transport|SO2|Premature mortality", US_national_yearly!$D:$AM, 20, FALSE) / VLOOKUP("transport|SO2|Premature mortality", US_national_yearly!$D:$AM, 10, FALSE), 1)</f>
        <v>9.4831819492906158E-4</v>
      </c>
      <c r="M2" s="7">
        <f>$B2 * IFERROR(VLOOKUP("transport|SO2|Premature mortality", US_national_yearly!$D:$AM, 21, FALSE) / VLOOKUP("transport|SO2|Premature mortality", US_national_yearly!$D:$AM, 10, FALSE), 1)</f>
        <v>9.6145761799624368E-4</v>
      </c>
      <c r="N2" s="7">
        <f>$B2 * IFERROR(VLOOKUP("transport|SO2|Premature mortality", US_national_yearly!$D:$AM, 22, FALSE) / VLOOKUP("transport|SO2|Premature mortality", US_national_yearly!$D:$AM, 10, FALSE), 1)</f>
        <v>9.7172405046280492E-4</v>
      </c>
      <c r="O2" s="7">
        <f>$B2 * IFERROR(VLOOKUP("transport|SO2|Premature mortality", US_national_yearly!$D:$AM, 23, FALSE) / VLOOKUP("transport|SO2|Premature mortality", US_national_yearly!$D:$AM, 10, FALSE), 1)</f>
        <v>9.8199048292936628E-4</v>
      </c>
      <c r="P2" s="7">
        <f>$B2 * IFERROR(VLOOKUP("transport|SO2|Premature mortality", US_national_yearly!$D:$AM, 24, FALSE) / VLOOKUP("transport|SO2|Premature mortality", US_national_yearly!$D:$AM, 10, FALSE), 1)</f>
        <v>9.9225691539592742E-4</v>
      </c>
      <c r="Q2" s="7">
        <f>$B2 * IFERROR(VLOOKUP("transport|SO2|Premature mortality", US_national_yearly!$D:$AM, 25, FALSE) / VLOOKUP("transport|SO2|Premature mortality", US_national_yearly!$D:$AM, 10, FALSE), 1)</f>
        <v>1.0025233478624888E-3</v>
      </c>
      <c r="R2" s="7">
        <f>$B2 * IFERROR(VLOOKUP("transport|SO2|Premature mortality", US_national_yearly!$D:$AM, 26, FALSE) / VLOOKUP("transport|SO2|Premature mortality", US_national_yearly!$D:$AM, 10, FALSE), 1)</f>
        <v>1.0127897803290499E-3</v>
      </c>
      <c r="S2" s="7">
        <f>$B2 * IFERROR(VLOOKUP("transport|SO2|Premature mortality", US_national_yearly!$D:$AM, 27, FALSE) / VLOOKUP("transport|SO2|Premature mortality", US_national_yearly!$D:$AM, 10, FALSE), 1)</f>
        <v>1.0182875916144873E-3</v>
      </c>
      <c r="T2" s="7">
        <f>$B2 * IFERROR(VLOOKUP("transport|SO2|Premature mortality", US_national_yearly!$D:$AM, 28, FALSE) / VLOOKUP("transport|SO2|Premature mortality", US_national_yearly!$D:$AM, 10, FALSE), 1)</f>
        <v>1.0237854028999247E-3</v>
      </c>
      <c r="U2" s="7">
        <f>$B2 * IFERROR(VLOOKUP("transport|SO2|Premature mortality", US_national_yearly!$D:$AM, 29, FALSE) / VLOOKUP("transport|SO2|Premature mortality", US_national_yearly!$D:$AM, 10, FALSE), 1)</f>
        <v>1.0292832141853619E-3</v>
      </c>
      <c r="V2" s="7">
        <f>$B2 * IFERROR(VLOOKUP("transport|SO2|Premature mortality", US_national_yearly!$D:$AM, 30, FALSE) / VLOOKUP("transport|SO2|Premature mortality", US_national_yearly!$D:$AM, 10, FALSE), 1)</f>
        <v>1.0347810254707993E-3</v>
      </c>
      <c r="W2" s="7">
        <f>$B2 * IFERROR(VLOOKUP("transport|SO2|Premature mortality", US_national_yearly!$D:$AM, 31, FALSE) / VLOOKUP("transport|SO2|Premature mortality", US_national_yearly!$D:$AM, 10, FALSE), 1)</f>
        <v>1.0402788367562367E-3</v>
      </c>
      <c r="X2" s="7">
        <f>$B2 * IFERROR(VLOOKUP("transport|SO2|Premature mortality", US_national_yearly!$D:$AM, 32, FALSE) / VLOOKUP("transport|SO2|Premature mortality", US_national_yearly!$D:$AM, 10, FALSE), 1)</f>
        <v>1.0413957339354134E-3</v>
      </c>
      <c r="Y2" s="7">
        <f>$B2 * IFERROR(VLOOKUP("transport|SO2|Premature mortality", US_national_yearly!$D:$AM, 33, FALSE) / VLOOKUP("transport|SO2|Premature mortality", US_national_yearly!$D:$AM, 10, FALSE), 1)</f>
        <v>1.0425126311145901E-3</v>
      </c>
      <c r="Z2" s="7">
        <f>$B2 * IFERROR(VLOOKUP("transport|SO2|Premature mortality", US_national_yearly!$D:$AM, 34, FALSE) / VLOOKUP("transport|SO2|Premature mortality", US_national_yearly!$D:$AM, 10, FALSE), 1)</f>
        <v>1.0436295282937669E-3</v>
      </c>
      <c r="AA2" s="7">
        <f>$B2 * IFERROR(VLOOKUP("transport|SO2|Premature mortality", US_national_yearly!$D:$AM, 35, FALSE) / VLOOKUP("transport|SO2|Premature mortality", US_national_yearly!$D:$AM, 10, FALSE), 1)</f>
        <v>1.0447464254729438E-3</v>
      </c>
      <c r="AB2" s="7">
        <f>$B2 * IFERROR(VLOOKUP("transport|SO2|Premature mortality", US_national_yearly!$D:$AM, 36, FALSE) / VLOOKUP("transport|SO2|Premature mortality", US_national_yearly!$D:$AM, 10, FALSE), 1)</f>
        <v>1.0458633226521203E-3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2.6842606474667998E-6</v>
      </c>
      <c r="C3" s="7">
        <f>$B3 * IFERROR(VLOOKUP("transport|SO2|Infant mortality", US_national_yearly!$D:$AM, 11, FALSE) / VLOOKUP("transport|SO2|Infant mortality", US_national_yearly!$D:$AM, 10, FALSE), 1)</f>
        <v>2.6612023588809641E-6</v>
      </c>
      <c r="D3" s="7">
        <f>$B3 * IFERROR(VLOOKUP("transport|SO2|Infant mortality", US_national_yearly!$D:$AM, 12, FALSE) / VLOOKUP("transport|SO2|Infant mortality", US_national_yearly!$D:$AM, 10, FALSE), 1)</f>
        <v>2.6381440702951285E-6</v>
      </c>
      <c r="E3" s="7">
        <f>$B3 * IFERROR(VLOOKUP("transport|SO2|Infant mortality", US_national_yearly!$D:$AM, 13, FALSE) / VLOOKUP("transport|SO2|Infant mortality", US_national_yearly!$D:$AM, 10, FALSE), 1)</f>
        <v>2.6150857817092924E-6</v>
      </c>
      <c r="F3" s="7">
        <f>$B3 * IFERROR(VLOOKUP("transport|SO2|Infant mortality", US_national_yearly!$D:$AM, 14, FALSE) / VLOOKUP("transport|SO2|Infant mortality", US_national_yearly!$D:$AM, 10, FALSE), 1)</f>
        <v>2.5920274931234568E-6</v>
      </c>
      <c r="G3" s="7">
        <f>$B3 * IFERROR(VLOOKUP("transport|SO2|Infant mortality", US_national_yearly!$D:$AM, 15, FALSE) / VLOOKUP("transport|SO2|Infant mortality", US_national_yearly!$D:$AM, 10, FALSE), 1)</f>
        <v>1.7264990764117128E-6</v>
      </c>
      <c r="H3" s="7">
        <f>$B3 * IFERROR(VLOOKUP("transport|SO2|Infant mortality", US_national_yearly!$D:$AM, 16, FALSE) / VLOOKUP("transport|SO2|Infant mortality", US_national_yearly!$D:$AM, 10, FALSE), 1)</f>
        <v>8.609706596999701E-7</v>
      </c>
      <c r="I3" s="7">
        <f>$B3 * IFERROR(VLOOKUP("transport|SO2|Infant mortality", US_national_yearly!$D:$AM, 17, FALSE) / VLOOKUP("transport|SO2|Infant mortality", US_national_yearly!$D:$AM, 10, FALSE), 1)</f>
        <v>8.5556953076085509E-7</v>
      </c>
      <c r="J3" s="7">
        <f>$B3 * IFERROR(VLOOKUP("transport|SO2|Infant mortality", US_national_yearly!$D:$AM, 18, FALSE) / VLOOKUP("transport|SO2|Infant mortality", US_national_yearly!$D:$AM, 10, FALSE), 1)</f>
        <v>8.5016840182174009E-7</v>
      </c>
      <c r="K3" s="7">
        <f>$B3 * IFERROR(VLOOKUP("transport|SO2|Infant mortality", US_national_yearly!$D:$AM, 19, FALSE) / VLOOKUP("transport|SO2|Infant mortality", US_national_yearly!$D:$AM, 10, FALSE), 1)</f>
        <v>8.4476727288262508E-7</v>
      </c>
      <c r="L3" s="7">
        <f>$B3 * IFERROR(VLOOKUP("transport|SO2|Infant mortality", US_national_yearly!$D:$AM, 20, FALSE) / VLOOKUP("transport|SO2|Infant mortality", US_national_yearly!$D:$AM, 10, FALSE), 1)</f>
        <v>8.3936614394351017E-7</v>
      </c>
      <c r="M3" s="7">
        <f>$B3 * IFERROR(VLOOKUP("transport|SO2|Infant mortality", US_national_yearly!$D:$AM, 21, FALSE) / VLOOKUP("transport|SO2|Infant mortality", US_national_yearly!$D:$AM, 10, FALSE), 1)</f>
        <v>8.3396501500439527E-7</v>
      </c>
      <c r="N3" s="7">
        <f>$B3 * IFERROR(VLOOKUP("transport|SO2|Infant mortality", US_national_yearly!$D:$AM, 22, FALSE) / VLOOKUP("transport|SO2|Infant mortality", US_national_yearly!$D:$AM, 10, FALSE), 1)</f>
        <v>8.3057476680574071E-7</v>
      </c>
      <c r="O3" s="7">
        <f>$B3 * IFERROR(VLOOKUP("transport|SO2|Infant mortality", US_national_yearly!$D:$AM, 23, FALSE) / VLOOKUP("transport|SO2|Infant mortality", US_national_yearly!$D:$AM, 10, FALSE), 1)</f>
        <v>8.2718451860708625E-7</v>
      </c>
      <c r="P3" s="7">
        <f>$B3 * IFERROR(VLOOKUP("transport|SO2|Infant mortality", US_national_yearly!$D:$AM, 24, FALSE) / VLOOKUP("transport|SO2|Infant mortality", US_national_yearly!$D:$AM, 10, FALSE), 1)</f>
        <v>8.2379427040843169E-7</v>
      </c>
      <c r="Q3" s="7">
        <f>$B3 * IFERROR(VLOOKUP("transport|SO2|Infant mortality", US_national_yearly!$D:$AM, 25, FALSE) / VLOOKUP("transport|SO2|Infant mortality", US_national_yearly!$D:$AM, 10, FALSE), 1)</f>
        <v>8.2040402220977723E-7</v>
      </c>
      <c r="R3" s="7">
        <f>$B3 * IFERROR(VLOOKUP("transport|SO2|Infant mortality", US_national_yearly!$D:$AM, 26, FALSE) / VLOOKUP("transport|SO2|Infant mortality", US_national_yearly!$D:$AM, 10, FALSE), 1)</f>
        <v>8.1701377401112267E-7</v>
      </c>
      <c r="S3" s="7">
        <f>$B3 * IFERROR(VLOOKUP("transport|SO2|Infant mortality", US_national_yearly!$D:$AM, 27, FALSE) / VLOOKUP("transport|SO2|Infant mortality", US_national_yearly!$D:$AM, 10, FALSE), 1)</f>
        <v>8.1275711085937054E-7</v>
      </c>
      <c r="T3" s="7">
        <f>$B3 * IFERROR(VLOOKUP("transport|SO2|Infant mortality", US_national_yearly!$D:$AM, 28, FALSE) / VLOOKUP("transport|SO2|Infant mortality", US_national_yearly!$D:$AM, 10, FALSE), 1)</f>
        <v>8.0850044770761842E-7</v>
      </c>
      <c r="U3" s="7">
        <f>$B3 * IFERROR(VLOOKUP("transport|SO2|Infant mortality", US_national_yearly!$D:$AM, 29, FALSE) / VLOOKUP("transport|SO2|Infant mortality", US_national_yearly!$D:$AM, 10, FALSE), 1)</f>
        <v>8.0424378455586608E-7</v>
      </c>
      <c r="V3" s="7">
        <f>$B3 * IFERROR(VLOOKUP("transport|SO2|Infant mortality", US_national_yearly!$D:$AM, 30, FALSE) / VLOOKUP("transport|SO2|Infant mortality", US_national_yearly!$D:$AM, 10, FALSE), 1)</f>
        <v>7.9998712140411406E-7</v>
      </c>
      <c r="W3" s="7">
        <f>$B3 * IFERROR(VLOOKUP("transport|SO2|Infant mortality", US_national_yearly!$D:$AM, 31, FALSE) / VLOOKUP("transport|SO2|Infant mortality", US_national_yearly!$D:$AM, 10, FALSE), 1)</f>
        <v>7.9573045825236183E-7</v>
      </c>
      <c r="X3" s="7">
        <f>$B3 * IFERROR(VLOOKUP("transport|SO2|Infant mortality", US_national_yearly!$D:$AM, 32, FALSE) / VLOOKUP("transport|SO2|Infant mortality", US_national_yearly!$D:$AM, 10, FALSE), 1)</f>
        <v>7.9107661151446283E-7</v>
      </c>
      <c r="Y3" s="7">
        <f>$B3 * IFERROR(VLOOKUP("transport|SO2|Infant mortality", US_national_yearly!$D:$AM, 33, FALSE) / VLOOKUP("transport|SO2|Infant mortality", US_national_yearly!$D:$AM, 10, FALSE), 1)</f>
        <v>7.864227647765635E-7</v>
      </c>
      <c r="Z3" s="7">
        <f>$B3 * IFERROR(VLOOKUP("transport|SO2|Infant mortality", US_national_yearly!$D:$AM, 34, FALSE) / VLOOKUP("transport|SO2|Infant mortality", US_national_yearly!$D:$AM, 10, FALSE), 1)</f>
        <v>7.817689180386645E-7</v>
      </c>
      <c r="AA3" s="7">
        <f>$B3 * IFERROR(VLOOKUP("transport|SO2|Infant mortality", US_national_yearly!$D:$AM, 35, FALSE) / VLOOKUP("transport|SO2|Infant mortality", US_national_yearly!$D:$AM, 10, FALSE), 1)</f>
        <v>7.7711507130076517E-7</v>
      </c>
      <c r="AB3" s="7">
        <f>$B3 * IFERROR(VLOOKUP("transport|SO2|Infant mortality", US_national_yearly!$D:$AM, 36, FALSE) / VLOOKUP("transport|SO2|Infant mortality", US_national_yearly!$D:$AM, 10, FALSE), 1)</f>
        <v>7.7246122456286617E-7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2.3853842150663102E-3</v>
      </c>
      <c r="C6" s="7">
        <f>$B6 * IFERROR(VLOOKUP("transport|SO2|Asthma symptoms cough", US_national_yearly!$D:$AM, 11, FALSE) / VLOOKUP("transport|SO2|Asthma symptoms cough", US_national_yearly!$D:$AM, 10, FALSE), 1)</f>
        <v>2.3853842150663102E-3</v>
      </c>
      <c r="D6" s="7">
        <f>$B6 * IFERROR(VLOOKUP("transport|SO2|Asthma symptoms cough", US_national_yearly!$D:$AM, 12, FALSE) / VLOOKUP("transport|SO2|Asthma symptoms cough", US_national_yearly!$D:$AM, 10, FALSE), 1)</f>
        <v>2.3853842150663102E-3</v>
      </c>
      <c r="E6" s="7">
        <f>$B6 * IFERROR(VLOOKUP("transport|SO2|Asthma symptoms cough", US_national_yearly!$D:$AM, 13, FALSE) / VLOOKUP("transport|SO2|Asthma symptoms cough", US_national_yearly!$D:$AM, 10, FALSE), 1)</f>
        <v>2.3853842150663102E-3</v>
      </c>
      <c r="F6" s="7">
        <f>$B6 * IFERROR(VLOOKUP("transport|SO2|Asthma symptoms cough", US_national_yearly!$D:$AM, 14, FALSE) / VLOOKUP("transport|SO2|Asthma symptoms cough", US_national_yearly!$D:$AM, 10, FALSE), 1)</f>
        <v>2.3853842150663102E-3</v>
      </c>
      <c r="G6" s="7">
        <f>$B6 * IFERROR(VLOOKUP("transport|SO2|Asthma symptoms cough", US_national_yearly!$D:$AM, 15, FALSE) / VLOOKUP("transport|SO2|Asthma symptoms cough", US_national_yearly!$D:$AM, 10, FALSE), 1)</f>
        <v>2.3853842150663102E-3</v>
      </c>
      <c r="H6" s="7">
        <f>$B6 * IFERROR(VLOOKUP("transport|SO2|Asthma symptoms cough", US_national_yearly!$D:$AM, 16, FALSE) / VLOOKUP("transport|SO2|Asthma symptoms cough", US_national_yearly!$D:$AM, 10, FALSE), 1)</f>
        <v>2.3853842150663102E-3</v>
      </c>
      <c r="I6" s="7">
        <f>$B6 * IFERROR(VLOOKUP("transport|SO2|Asthma symptoms cough", US_national_yearly!$D:$AM, 17, FALSE) / VLOOKUP("transport|SO2|Asthma symptoms cough", US_national_yearly!$D:$AM, 10, FALSE), 1)</f>
        <v>2.3853842150663102E-3</v>
      </c>
      <c r="J6" s="7">
        <f>$B6 * IFERROR(VLOOKUP("transport|SO2|Asthma symptoms cough", US_national_yearly!$D:$AM, 18, FALSE) / VLOOKUP("transport|SO2|Asthma symptoms cough", US_national_yearly!$D:$AM, 10, FALSE), 1)</f>
        <v>2.3853842150663102E-3</v>
      </c>
      <c r="K6" s="7">
        <f>$B6 * IFERROR(VLOOKUP("transport|SO2|Asthma symptoms cough", US_national_yearly!$D:$AM, 19, FALSE) / VLOOKUP("transport|SO2|Asthma symptoms cough", US_national_yearly!$D:$AM, 10, FALSE), 1)</f>
        <v>2.3853842150663102E-3</v>
      </c>
      <c r="L6" s="7">
        <f>$B6 * IFERROR(VLOOKUP("transport|SO2|Asthma symptoms cough", US_national_yearly!$D:$AM, 20, FALSE) / VLOOKUP("transport|SO2|Asthma symptoms cough", US_national_yearly!$D:$AM, 10, FALSE), 1)</f>
        <v>2.3853842150663102E-3</v>
      </c>
      <c r="M6" s="7">
        <f>$B6 * IFERROR(VLOOKUP("transport|SO2|Asthma symptoms cough", US_national_yearly!$D:$AM, 21, FALSE) / VLOOKUP("transport|SO2|Asthma symptoms cough", US_national_yearly!$D:$AM, 10, FALSE), 1)</f>
        <v>2.3853842150663102E-3</v>
      </c>
      <c r="N6" s="7">
        <f>$B6 * IFERROR(VLOOKUP("transport|SO2|Asthma symptoms cough", US_national_yearly!$D:$AM, 22, FALSE) / VLOOKUP("transport|SO2|Asthma symptoms cough", US_national_yearly!$D:$AM, 10, FALSE), 1)</f>
        <v>2.3853842150663102E-3</v>
      </c>
      <c r="O6" s="7">
        <f>$B6 * IFERROR(VLOOKUP("transport|SO2|Asthma symptoms cough", US_national_yearly!$D:$AM, 23, FALSE) / VLOOKUP("transport|SO2|Asthma symptoms cough", US_national_yearly!$D:$AM, 10, FALSE), 1)</f>
        <v>2.3853842150663102E-3</v>
      </c>
      <c r="P6" s="7">
        <f>$B6 * IFERROR(VLOOKUP("transport|SO2|Asthma symptoms cough", US_national_yearly!$D:$AM, 24, FALSE) / VLOOKUP("transport|SO2|Asthma symptoms cough", US_national_yearly!$D:$AM, 10, FALSE), 1)</f>
        <v>2.3853842150663102E-3</v>
      </c>
      <c r="Q6" s="7">
        <f>$B6 * IFERROR(VLOOKUP("transport|SO2|Asthma symptoms cough", US_national_yearly!$D:$AM, 25, FALSE) / VLOOKUP("transport|SO2|Asthma symptoms cough", US_national_yearly!$D:$AM, 10, FALSE), 1)</f>
        <v>2.3853842150663102E-3</v>
      </c>
      <c r="R6" s="7">
        <f>$B6 * IFERROR(VLOOKUP("transport|SO2|Asthma symptoms cough", US_national_yearly!$D:$AM, 26, FALSE) / VLOOKUP("transport|SO2|Asthma symptoms cough", US_national_yearly!$D:$AM, 10, FALSE), 1)</f>
        <v>2.3853842150663102E-3</v>
      </c>
      <c r="S6" s="7">
        <f>$B6 * IFERROR(VLOOKUP("transport|SO2|Asthma symptoms cough", US_national_yearly!$D:$AM, 27, FALSE) / VLOOKUP("transport|SO2|Asthma symptoms cough", US_national_yearly!$D:$AM, 10, FALSE), 1)</f>
        <v>2.3853842150663102E-3</v>
      </c>
      <c r="T6" s="7">
        <f>$B6 * IFERROR(VLOOKUP("transport|SO2|Asthma symptoms cough", US_national_yearly!$D:$AM, 28, FALSE) / VLOOKUP("transport|SO2|Asthma symptoms cough", US_national_yearly!$D:$AM, 10, FALSE), 1)</f>
        <v>2.3853842150663102E-3</v>
      </c>
      <c r="U6" s="7">
        <f>$B6 * IFERROR(VLOOKUP("transport|SO2|Asthma symptoms cough", US_national_yearly!$D:$AM, 29, FALSE) / VLOOKUP("transport|SO2|Asthma symptoms cough", US_national_yearly!$D:$AM, 10, FALSE), 1)</f>
        <v>2.3853842150663102E-3</v>
      </c>
      <c r="V6" s="7">
        <f>$B6 * IFERROR(VLOOKUP("transport|SO2|Asthma symptoms cough", US_national_yearly!$D:$AM, 30, FALSE) / VLOOKUP("transport|SO2|Asthma symptoms cough", US_national_yearly!$D:$AM, 10, FALSE), 1)</f>
        <v>2.3853842150663102E-3</v>
      </c>
      <c r="W6" s="7">
        <f>$B6 * IFERROR(VLOOKUP("transport|SO2|Asthma symptoms cough", US_national_yearly!$D:$AM, 31, FALSE) / VLOOKUP("transport|SO2|Asthma symptoms cough", US_national_yearly!$D:$AM, 10, FALSE), 1)</f>
        <v>2.3853842150663102E-3</v>
      </c>
      <c r="X6" s="7">
        <f>$B6 * IFERROR(VLOOKUP("transport|SO2|Asthma symptoms cough", US_national_yearly!$D:$AM, 32, FALSE) / VLOOKUP("transport|SO2|Asthma symptoms cough", US_national_yearly!$D:$AM, 10, FALSE), 1)</f>
        <v>2.3853842150663102E-3</v>
      </c>
      <c r="Y6" s="7">
        <f>$B6 * IFERROR(VLOOKUP("transport|SO2|Asthma symptoms cough", US_national_yearly!$D:$AM, 33, FALSE) / VLOOKUP("transport|SO2|Asthma symptoms cough", US_national_yearly!$D:$AM, 10, FALSE), 1)</f>
        <v>2.3853842150663102E-3</v>
      </c>
      <c r="Z6" s="7">
        <f>$B6 * IFERROR(VLOOKUP("transport|SO2|Asthma symptoms cough", US_national_yearly!$D:$AM, 34, FALSE) / VLOOKUP("transport|SO2|Asthma symptoms cough", US_national_yearly!$D:$AM, 10, FALSE), 1)</f>
        <v>2.3853842150663102E-3</v>
      </c>
      <c r="AA6" s="7">
        <f>$B6 * IFERROR(VLOOKUP("transport|SO2|Asthma symptoms cough", US_national_yearly!$D:$AM, 35, FALSE) / VLOOKUP("transport|SO2|Asthma symptoms cough", US_national_yearly!$D:$AM, 10, FALSE), 1)</f>
        <v>2.3853842150663102E-3</v>
      </c>
      <c r="AB6" s="7">
        <f>$B6 * IFERROR(VLOOKUP("transport|SO2|Asthma symptoms cough", US_national_yearly!$D:$AM, 36, FALSE) / VLOOKUP("transport|SO2|Asthma symptoms cough", US_national_yearly!$D:$AM, 10, FALSE), 1)</f>
        <v>2.3853842150663102E-3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3.2122693295421408E-3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3.2122693295421408E-3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3.2122693295421408E-3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3.2122693295421408E-3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3.2122693295421408E-3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3.2122693295421408E-3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3.2122693295421408E-3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3.2122693295421408E-3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3.2122693295421408E-3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3.2122693295421408E-3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3.2122693295421408E-3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3.2122693295421408E-3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3.2122693295421408E-3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3.2122693295421408E-3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3.2122693295421408E-3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3.2122693295421408E-3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3.2122693295421408E-3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3.2122693295421408E-3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3.2122693295421408E-3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3.2122693295421408E-3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3.2122693295421408E-3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3.2122693295421408E-3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3.2122693295421408E-3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3.2122693295421408E-3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3.2122693295421408E-3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3.2122693295421408E-3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3.2122693295421408E-3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4.9077911632712445E-3</v>
      </c>
      <c r="C8" s="7">
        <f>$B8 * IFERROR(VLOOKUP("transport|SO2|Asthma symptoms wheeze", US_national_yearly!$D:$AM, 11, FALSE) / VLOOKUP("transport|SO2|Asthma symptoms wheeze", US_national_yearly!$D:$AM, 10, FALSE), 1)</f>
        <v>4.9077911632712445E-3</v>
      </c>
      <c r="D8" s="7">
        <f>$B8 * IFERROR(VLOOKUP("transport|SO2|Asthma symptoms wheeze", US_national_yearly!$D:$AM, 12, FALSE) / VLOOKUP("transport|SO2|Asthma symptoms wheeze", US_national_yearly!$D:$AM, 10, FALSE), 1)</f>
        <v>4.9077911632712445E-3</v>
      </c>
      <c r="E8" s="7">
        <f>$B8 * IFERROR(VLOOKUP("transport|SO2|Asthma symptoms wheeze", US_national_yearly!$D:$AM, 13, FALSE) / VLOOKUP("transport|SO2|Asthma symptoms wheeze", US_national_yearly!$D:$AM, 10, FALSE), 1)</f>
        <v>4.9077911632712445E-3</v>
      </c>
      <c r="F8" s="7">
        <f>$B8 * IFERROR(VLOOKUP("transport|SO2|Asthma symptoms wheeze", US_national_yearly!$D:$AM, 14, FALSE) / VLOOKUP("transport|SO2|Asthma symptoms wheeze", US_national_yearly!$D:$AM, 10, FALSE), 1)</f>
        <v>4.9077911632712445E-3</v>
      </c>
      <c r="G8" s="7">
        <f>$B8 * IFERROR(VLOOKUP("transport|SO2|Asthma symptoms wheeze", US_national_yearly!$D:$AM, 15, FALSE) / VLOOKUP("transport|SO2|Asthma symptoms wheeze", US_national_yearly!$D:$AM, 10, FALSE), 1)</f>
        <v>4.9077911632712445E-3</v>
      </c>
      <c r="H8" s="7">
        <f>$B8 * IFERROR(VLOOKUP("transport|SO2|Asthma symptoms wheeze", US_national_yearly!$D:$AM, 16, FALSE) / VLOOKUP("transport|SO2|Asthma symptoms wheeze", US_national_yearly!$D:$AM, 10, FALSE), 1)</f>
        <v>4.9077911632712445E-3</v>
      </c>
      <c r="I8" s="7">
        <f>$B8 * IFERROR(VLOOKUP("transport|SO2|Asthma symptoms wheeze", US_national_yearly!$D:$AM, 17, FALSE) / VLOOKUP("transport|SO2|Asthma symptoms wheeze", US_national_yearly!$D:$AM, 10, FALSE), 1)</f>
        <v>4.9077911632712445E-3</v>
      </c>
      <c r="J8" s="7">
        <f>$B8 * IFERROR(VLOOKUP("transport|SO2|Asthma symptoms wheeze", US_national_yearly!$D:$AM, 18, FALSE) / VLOOKUP("transport|SO2|Asthma symptoms wheeze", US_national_yearly!$D:$AM, 10, FALSE), 1)</f>
        <v>4.9077911632712445E-3</v>
      </c>
      <c r="K8" s="7">
        <f>$B8 * IFERROR(VLOOKUP("transport|SO2|Asthma symptoms wheeze", US_national_yearly!$D:$AM, 19, FALSE) / VLOOKUP("transport|SO2|Asthma symptoms wheeze", US_national_yearly!$D:$AM, 10, FALSE), 1)</f>
        <v>4.9077911632712445E-3</v>
      </c>
      <c r="L8" s="7">
        <f>$B8 * IFERROR(VLOOKUP("transport|SO2|Asthma symptoms wheeze", US_national_yearly!$D:$AM, 20, FALSE) / VLOOKUP("transport|SO2|Asthma symptoms wheeze", US_national_yearly!$D:$AM, 10, FALSE), 1)</f>
        <v>4.9077911632712445E-3</v>
      </c>
      <c r="M8" s="7">
        <f>$B8 * IFERROR(VLOOKUP("transport|SO2|Asthma symptoms wheeze", US_national_yearly!$D:$AM, 21, FALSE) / VLOOKUP("transport|SO2|Asthma symptoms wheeze", US_national_yearly!$D:$AM, 10, FALSE), 1)</f>
        <v>4.9077911632712445E-3</v>
      </c>
      <c r="N8" s="7">
        <f>$B8 * IFERROR(VLOOKUP("transport|SO2|Asthma symptoms wheeze", US_national_yearly!$D:$AM, 22, FALSE) / VLOOKUP("transport|SO2|Asthma symptoms wheeze", US_national_yearly!$D:$AM, 10, FALSE), 1)</f>
        <v>4.9077911632712445E-3</v>
      </c>
      <c r="O8" s="7">
        <f>$B8 * IFERROR(VLOOKUP("transport|SO2|Asthma symptoms wheeze", US_national_yearly!$D:$AM, 23, FALSE) / VLOOKUP("transport|SO2|Asthma symptoms wheeze", US_national_yearly!$D:$AM, 10, FALSE), 1)</f>
        <v>4.9077911632712445E-3</v>
      </c>
      <c r="P8" s="7">
        <f>$B8 * IFERROR(VLOOKUP("transport|SO2|Asthma symptoms wheeze", US_national_yearly!$D:$AM, 24, FALSE) / VLOOKUP("transport|SO2|Asthma symptoms wheeze", US_national_yearly!$D:$AM, 10, FALSE), 1)</f>
        <v>4.9077911632712445E-3</v>
      </c>
      <c r="Q8" s="7">
        <f>$B8 * IFERROR(VLOOKUP("transport|SO2|Asthma symptoms wheeze", US_national_yearly!$D:$AM, 25, FALSE) / VLOOKUP("transport|SO2|Asthma symptoms wheeze", US_national_yearly!$D:$AM, 10, FALSE), 1)</f>
        <v>4.9077911632712445E-3</v>
      </c>
      <c r="R8" s="7">
        <f>$B8 * IFERROR(VLOOKUP("transport|SO2|Asthma symptoms wheeze", US_national_yearly!$D:$AM, 26, FALSE) / VLOOKUP("transport|SO2|Asthma symptoms wheeze", US_national_yearly!$D:$AM, 10, FALSE), 1)</f>
        <v>4.9077911632712445E-3</v>
      </c>
      <c r="S8" s="7">
        <f>$B8 * IFERROR(VLOOKUP("transport|SO2|Asthma symptoms wheeze", US_national_yearly!$D:$AM, 27, FALSE) / VLOOKUP("transport|SO2|Asthma symptoms wheeze", US_national_yearly!$D:$AM, 10, FALSE), 1)</f>
        <v>4.9077911632712445E-3</v>
      </c>
      <c r="T8" s="7">
        <f>$B8 * IFERROR(VLOOKUP("transport|SO2|Asthma symptoms wheeze", US_national_yearly!$D:$AM, 28, FALSE) / VLOOKUP("transport|SO2|Asthma symptoms wheeze", US_national_yearly!$D:$AM, 10, FALSE), 1)</f>
        <v>4.9077911632712445E-3</v>
      </c>
      <c r="U8" s="7">
        <f>$B8 * IFERROR(VLOOKUP("transport|SO2|Asthma symptoms wheeze", US_national_yearly!$D:$AM, 29, FALSE) / VLOOKUP("transport|SO2|Asthma symptoms wheeze", US_national_yearly!$D:$AM, 10, FALSE), 1)</f>
        <v>4.9077911632712445E-3</v>
      </c>
      <c r="V8" s="7">
        <f>$B8 * IFERROR(VLOOKUP("transport|SO2|Asthma symptoms wheeze", US_national_yearly!$D:$AM, 30, FALSE) / VLOOKUP("transport|SO2|Asthma symptoms wheeze", US_national_yearly!$D:$AM, 10, FALSE), 1)</f>
        <v>4.9077911632712445E-3</v>
      </c>
      <c r="W8" s="7">
        <f>$B8 * IFERROR(VLOOKUP("transport|SO2|Asthma symptoms wheeze", US_national_yearly!$D:$AM, 31, FALSE) / VLOOKUP("transport|SO2|Asthma symptoms wheeze", US_national_yearly!$D:$AM, 10, FALSE), 1)</f>
        <v>4.9077911632712445E-3</v>
      </c>
      <c r="X8" s="7">
        <f>$B8 * IFERROR(VLOOKUP("transport|SO2|Asthma symptoms wheeze", US_national_yearly!$D:$AM, 32, FALSE) / VLOOKUP("transport|SO2|Asthma symptoms wheeze", US_national_yearly!$D:$AM, 10, FALSE), 1)</f>
        <v>4.9077911632712445E-3</v>
      </c>
      <c r="Y8" s="7">
        <f>$B8 * IFERROR(VLOOKUP("transport|SO2|Asthma symptoms wheeze", US_national_yearly!$D:$AM, 33, FALSE) / VLOOKUP("transport|SO2|Asthma symptoms wheeze", US_national_yearly!$D:$AM, 10, FALSE), 1)</f>
        <v>4.9077911632712445E-3</v>
      </c>
      <c r="Z8" s="7">
        <f>$B8 * IFERROR(VLOOKUP("transport|SO2|Asthma symptoms wheeze", US_national_yearly!$D:$AM, 34, FALSE) / VLOOKUP("transport|SO2|Asthma symptoms wheeze", US_national_yearly!$D:$AM, 10, FALSE), 1)</f>
        <v>4.9077911632712445E-3</v>
      </c>
      <c r="AA8" s="7">
        <f>$B8 * IFERROR(VLOOKUP("transport|SO2|Asthma symptoms wheeze", US_national_yearly!$D:$AM, 35, FALSE) / VLOOKUP("transport|SO2|Asthma symptoms wheeze", US_national_yearly!$D:$AM, 10, FALSE), 1)</f>
        <v>4.9077911632712445E-3</v>
      </c>
      <c r="AB8" s="7">
        <f>$B8 * IFERROR(VLOOKUP("transport|SO2|Asthma symptoms wheeze", US_national_yearly!$D:$AM, 36, FALSE) / VLOOKUP("transport|SO2|Asthma symptoms wheeze", US_national_yearly!$D:$AM, 10, FALSE), 1)</f>
        <v>4.9077911632712445E-3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6.0795982696470086E-5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6.1154560423664118E-5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6.151313815085815E-5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6.1871715878052182E-5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6.22302936052462E-5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6.2621203809549636E-5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6.3012114013853059E-5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6.3397598018679813E-5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6.3783082023506581E-5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6.4168566028333308E-5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6.4554050033160075E-5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6.4939534037986816E-5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6.5220925462159695E-5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6.5502316886332574E-5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6.578370831050544E-5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6.6065099734678319E-5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6.6346491158851185E-5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6.661491710674059E-5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6.6883343054629981E-5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6.7151769002519372E-5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6.7420194950408777E-5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6.7688620898298182E-5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6.7943313052541866E-5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6.8198005206785551E-5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6.8452697361029248E-5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6.8707389515272933E-5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6.896208166951663E-5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2.5925735300155132E-4</v>
      </c>
      <c r="C13" s="7">
        <f>$B13 * IFERROR(VLOOKUP("transport|SO2|Non-fatal heart attacks", US_national_yearly!$D:$AM, 11, FALSE) / VLOOKUP("transport|SO2|Non-fatal heart attacks", US_national_yearly!$D:$AM, 10, FALSE), 1)</f>
        <v>2.6686820721133801E-4</v>
      </c>
      <c r="D13" s="7">
        <f>$B13 * IFERROR(VLOOKUP("transport|SO2|Non-fatal heart attacks", US_national_yearly!$D:$AM, 12, FALSE) / VLOOKUP("transport|SO2|Non-fatal heart attacks", US_national_yearly!$D:$AM, 10, FALSE), 1)</f>
        <v>2.7447906142112475E-4</v>
      </c>
      <c r="E13" s="7">
        <f>$B13 * IFERROR(VLOOKUP("transport|SO2|Non-fatal heart attacks", US_national_yearly!$D:$AM, 13, FALSE) / VLOOKUP("transport|SO2|Non-fatal heart attacks", US_national_yearly!$D:$AM, 10, FALSE), 1)</f>
        <v>2.8208991563091144E-4</v>
      </c>
      <c r="F13" s="7">
        <f>$B13 * IFERROR(VLOOKUP("transport|SO2|Non-fatal heart attacks", US_national_yearly!$D:$AM, 14, FALSE) / VLOOKUP("transport|SO2|Non-fatal heart attacks", US_national_yearly!$D:$AM, 10, FALSE), 1)</f>
        <v>2.8970076984069813E-4</v>
      </c>
      <c r="G13" s="7">
        <f>$B13 * IFERROR(VLOOKUP("transport|SO2|Non-fatal heart attacks", US_national_yearly!$D:$AM, 15, FALSE) / VLOOKUP("transport|SO2|Non-fatal heart attacks", US_national_yearly!$D:$AM, 10, FALSE), 1)</f>
        <v>2.9687851131038134E-4</v>
      </c>
      <c r="H13" s="7">
        <f>$B13 * IFERROR(VLOOKUP("transport|SO2|Non-fatal heart attacks", US_national_yearly!$D:$AM, 16, FALSE) / VLOOKUP("transport|SO2|Non-fatal heart attacks", US_national_yearly!$D:$AM, 10, FALSE), 1)</f>
        <v>3.0405625278006454E-4</v>
      </c>
      <c r="I13" s="7">
        <f>$B13 * IFERROR(VLOOKUP("transport|SO2|Non-fatal heart attacks", US_national_yearly!$D:$AM, 17, FALSE) / VLOOKUP("transport|SO2|Non-fatal heart attacks", US_national_yearly!$D:$AM, 10, FALSE), 1)</f>
        <v>3.0983208454527455E-4</v>
      </c>
      <c r="J13" s="7">
        <f>$B13 * IFERROR(VLOOKUP("transport|SO2|Non-fatal heart attacks", US_national_yearly!$D:$AM, 18, FALSE) / VLOOKUP("transport|SO2|Non-fatal heart attacks", US_national_yearly!$D:$AM, 10, FALSE), 1)</f>
        <v>3.156079163104846E-4</v>
      </c>
      <c r="K13" s="7">
        <f>$B13 * IFERROR(VLOOKUP("transport|SO2|Non-fatal heart attacks", US_national_yearly!$D:$AM, 19, FALSE) / VLOOKUP("transport|SO2|Non-fatal heart attacks", US_national_yearly!$D:$AM, 10, FALSE), 1)</f>
        <v>3.2138374807569461E-4</v>
      </c>
      <c r="L13" s="7">
        <f>$B13 * IFERROR(VLOOKUP("transport|SO2|Non-fatal heart attacks", US_national_yearly!$D:$AM, 20, FALSE) / VLOOKUP("transport|SO2|Non-fatal heart attacks", US_national_yearly!$D:$AM, 10, FALSE), 1)</f>
        <v>3.2715957984090477E-4</v>
      </c>
      <c r="M13" s="7">
        <f>$B13 * IFERROR(VLOOKUP("transport|SO2|Non-fatal heart attacks", US_national_yearly!$D:$AM, 21, FALSE) / VLOOKUP("transport|SO2|Non-fatal heart attacks", US_national_yearly!$D:$AM, 10, FALSE), 1)</f>
        <v>3.3293541160611483E-4</v>
      </c>
      <c r="N13" s="7">
        <f>$B13 * IFERROR(VLOOKUP("transport|SO2|Non-fatal heart attacks", US_national_yearly!$D:$AM, 22, FALSE) / VLOOKUP("transport|SO2|Non-fatal heart attacks", US_national_yearly!$D:$AM, 10, FALSE), 1)</f>
        <v>3.3668572895257162E-4</v>
      </c>
      <c r="O13" s="7">
        <f>$B13 * IFERROR(VLOOKUP("transport|SO2|Non-fatal heart attacks", US_national_yearly!$D:$AM, 23, FALSE) / VLOOKUP("transport|SO2|Non-fatal heart attacks", US_national_yearly!$D:$AM, 10, FALSE), 1)</f>
        <v>3.4043604629902853E-4</v>
      </c>
      <c r="P13" s="7">
        <f>$B13 * IFERROR(VLOOKUP("transport|SO2|Non-fatal heart attacks", US_national_yearly!$D:$AM, 24, FALSE) / VLOOKUP("transport|SO2|Non-fatal heart attacks", US_national_yearly!$D:$AM, 10, FALSE), 1)</f>
        <v>3.4418636364548543E-4</v>
      </c>
      <c r="Q13" s="7">
        <f>$B13 * IFERROR(VLOOKUP("transport|SO2|Non-fatal heart attacks", US_national_yearly!$D:$AM, 25, FALSE) / VLOOKUP("transport|SO2|Non-fatal heart attacks", US_national_yearly!$D:$AM, 10, FALSE), 1)</f>
        <v>3.4793668099194228E-4</v>
      </c>
      <c r="R13" s="7">
        <f>$B13 * IFERROR(VLOOKUP("transport|SO2|Non-fatal heart attacks", US_national_yearly!$D:$AM, 26, FALSE) / VLOOKUP("transport|SO2|Non-fatal heart attacks", US_national_yearly!$D:$AM, 10, FALSE), 1)</f>
        <v>3.5168699833839913E-4</v>
      </c>
      <c r="S13" s="7">
        <f>$B13 * IFERROR(VLOOKUP("transport|SO2|Non-fatal heart attacks", US_national_yearly!$D:$AM, 27, FALSE) / VLOOKUP("transport|SO2|Non-fatal heart attacks", US_national_yearly!$D:$AM, 10, FALSE), 1)</f>
        <v>3.5364501793024033E-4</v>
      </c>
      <c r="T13" s="7">
        <f>$B13 * IFERROR(VLOOKUP("transport|SO2|Non-fatal heart attacks", US_national_yearly!$D:$AM, 28, FALSE) / VLOOKUP("transport|SO2|Non-fatal heart attacks", US_national_yearly!$D:$AM, 10, FALSE), 1)</f>
        <v>3.5560303752208154E-4</v>
      </c>
      <c r="U13" s="7">
        <f>$B13 * IFERROR(VLOOKUP("transport|SO2|Non-fatal heart attacks", US_national_yearly!$D:$AM, 29, FALSE) / VLOOKUP("transport|SO2|Non-fatal heart attacks", US_national_yearly!$D:$AM, 10, FALSE), 1)</f>
        <v>3.575610571139227E-4</v>
      </c>
      <c r="V13" s="7">
        <f>$B13 * IFERROR(VLOOKUP("transport|SO2|Non-fatal heart attacks", US_national_yearly!$D:$AM, 30, FALSE) / VLOOKUP("transport|SO2|Non-fatal heart attacks", US_national_yearly!$D:$AM, 10, FALSE), 1)</f>
        <v>3.5951907670576385E-4</v>
      </c>
      <c r="W13" s="7">
        <f>$B13 * IFERROR(VLOOKUP("transport|SO2|Non-fatal heart attacks", US_national_yearly!$D:$AM, 31, FALSE) / VLOOKUP("transport|SO2|Non-fatal heart attacks", US_national_yearly!$D:$AM, 10, FALSE), 1)</f>
        <v>3.6147709629760511E-4</v>
      </c>
      <c r="X13" s="7">
        <f>$B13 * IFERROR(VLOOKUP("transport|SO2|Non-fatal heart attacks", US_national_yearly!$D:$AM, 32, FALSE) / VLOOKUP("transport|SO2|Non-fatal heart attacks", US_national_yearly!$D:$AM, 10, FALSE), 1)</f>
        <v>3.6295522981393084E-4</v>
      </c>
      <c r="Y13" s="7">
        <f>$B13 * IFERROR(VLOOKUP("transport|SO2|Non-fatal heart attacks", US_national_yearly!$D:$AM, 33, FALSE) / VLOOKUP("transport|SO2|Non-fatal heart attacks", US_national_yearly!$D:$AM, 10, FALSE), 1)</f>
        <v>3.6443336333025656E-4</v>
      </c>
      <c r="Z13" s="7">
        <f>$B13 * IFERROR(VLOOKUP("transport|SO2|Non-fatal heart attacks", US_national_yearly!$D:$AM, 34, FALSE) / VLOOKUP("transport|SO2|Non-fatal heart attacks", US_national_yearly!$D:$AM, 10, FALSE), 1)</f>
        <v>3.6591149684658228E-4</v>
      </c>
      <c r="AA13" s="7">
        <f>$B13 * IFERROR(VLOOKUP("transport|SO2|Non-fatal heart attacks", US_national_yearly!$D:$AM, 35, FALSE) / VLOOKUP("transport|SO2|Non-fatal heart attacks", US_national_yearly!$D:$AM, 10, FALSE), 1)</f>
        <v>3.6738963036290795E-4</v>
      </c>
      <c r="AB13" s="7">
        <f>$B13 * IFERROR(VLOOKUP("transport|SO2|Non-fatal heart attacks", US_national_yearly!$D:$AM, 36, FALSE) / VLOOKUP("transport|SO2|Non-fatal heart attacks", US_national_yearly!$D:$AM, 10, FALSE), 1)</f>
        <v>3.6886776387923367E-4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0.26031607237112137</v>
      </c>
      <c r="C14" s="7">
        <f>$B14 * IFERROR(VLOOKUP("transport|SO2|Minor restricted activity days", US_national_yearly!$D:$AM, 11, FALSE) / VLOOKUP("transport|SO2|Minor restricted activity days", US_national_yearly!$D:$AM, 10, FALSE), 1)</f>
        <v>0.26097224245425227</v>
      </c>
      <c r="D14" s="7">
        <f>$B14 * IFERROR(VLOOKUP("transport|SO2|Minor restricted activity days", US_national_yearly!$D:$AM, 12, FALSE) / VLOOKUP("transport|SO2|Minor restricted activity days", US_national_yearly!$D:$AM, 10, FALSE), 1)</f>
        <v>0.26162841253738306</v>
      </c>
      <c r="E14" s="7">
        <f>$B14 * IFERROR(VLOOKUP("transport|SO2|Minor restricted activity days", US_national_yearly!$D:$AM, 13, FALSE) / VLOOKUP("transport|SO2|Minor restricted activity days", US_national_yearly!$D:$AM, 10, FALSE), 1)</f>
        <v>0.26228458262051396</v>
      </c>
      <c r="F14" s="7">
        <f>$B14 * IFERROR(VLOOKUP("transport|SO2|Minor restricted activity days", US_national_yearly!$D:$AM, 14, FALSE) / VLOOKUP("transport|SO2|Minor restricted activity days", US_national_yearly!$D:$AM, 10, FALSE), 1)</f>
        <v>0.26294075270364481</v>
      </c>
      <c r="G14" s="7">
        <f>$B14 * IFERROR(VLOOKUP("transport|SO2|Minor restricted activity days", US_national_yearly!$D:$AM, 15, FALSE) / VLOOKUP("transport|SO2|Minor restricted activity days", US_national_yearly!$D:$AM, 10, FALSE), 1)</f>
        <v>0.26390657060350448</v>
      </c>
      <c r="H14" s="7">
        <f>$B14 * IFERROR(VLOOKUP("transport|SO2|Minor restricted activity days", US_national_yearly!$D:$AM, 16, FALSE) / VLOOKUP("transport|SO2|Minor restricted activity days", US_national_yearly!$D:$AM, 10, FALSE), 1)</f>
        <v>0.2648723885033642</v>
      </c>
      <c r="I14" s="7">
        <f>$B14 * IFERROR(VLOOKUP("transport|SO2|Minor restricted activity days", US_national_yearly!$D:$AM, 17, FALSE) / VLOOKUP("transport|SO2|Minor restricted activity days", US_national_yearly!$D:$AM, 10, FALSE), 1)</f>
        <v>0.26651950090679905</v>
      </c>
      <c r="J14" s="7">
        <f>$B14 * IFERROR(VLOOKUP("transport|SO2|Minor restricted activity days", US_national_yearly!$D:$AM, 18, FALSE) / VLOOKUP("transport|SO2|Minor restricted activity days", US_national_yearly!$D:$AM, 10, FALSE), 1)</f>
        <v>0.26816661331023389</v>
      </c>
      <c r="K14" s="7">
        <f>$B14 * IFERROR(VLOOKUP("transport|SO2|Minor restricted activity days", US_national_yearly!$D:$AM, 19, FALSE) / VLOOKUP("transport|SO2|Minor restricted activity days", US_national_yearly!$D:$AM, 10, FALSE), 1)</f>
        <v>0.26981372571366879</v>
      </c>
      <c r="L14" s="7">
        <f>$B14 * IFERROR(VLOOKUP("transport|SO2|Minor restricted activity days", US_national_yearly!$D:$AM, 20, FALSE) / VLOOKUP("transport|SO2|Minor restricted activity days", US_national_yearly!$D:$AM, 10, FALSE), 1)</f>
        <v>0.2714608381171037</v>
      </c>
      <c r="M14" s="7">
        <f>$B14 * IFERROR(VLOOKUP("transport|SO2|Minor restricted activity days", US_national_yearly!$D:$AM, 21, FALSE) / VLOOKUP("transport|SO2|Minor restricted activity days", US_national_yearly!$D:$AM, 10, FALSE), 1)</f>
        <v>0.27310795052053854</v>
      </c>
      <c r="N14" s="7">
        <f>$B14 * IFERROR(VLOOKUP("transport|SO2|Minor restricted activity days", US_national_yearly!$D:$AM, 22, FALSE) / VLOOKUP("transport|SO2|Minor restricted activity days", US_national_yearly!$D:$AM, 10, FALSE), 1)</f>
        <v>0.27536093599446382</v>
      </c>
      <c r="O14" s="7">
        <f>$B14 * IFERROR(VLOOKUP("transport|SO2|Minor restricted activity days", US_national_yearly!$D:$AM, 23, FALSE) / VLOOKUP("transport|SO2|Minor restricted activity days", US_national_yearly!$D:$AM, 10, FALSE), 1)</f>
        <v>0.27761392146838915</v>
      </c>
      <c r="P14" s="7">
        <f>$B14 * IFERROR(VLOOKUP("transport|SO2|Minor restricted activity days", US_national_yearly!$D:$AM, 24, FALSE) / VLOOKUP("transport|SO2|Minor restricted activity days", US_national_yearly!$D:$AM, 10, FALSE), 1)</f>
        <v>0.27986690694231448</v>
      </c>
      <c r="Q14" s="7">
        <f>$B14 * IFERROR(VLOOKUP("transport|SO2|Minor restricted activity days", US_national_yearly!$D:$AM, 25, FALSE) / VLOOKUP("transport|SO2|Minor restricted activity days", US_national_yearly!$D:$AM, 10, FALSE), 1)</f>
        <v>0.2821198924162398</v>
      </c>
      <c r="R14" s="7">
        <f>$B14 * IFERROR(VLOOKUP("transport|SO2|Minor restricted activity days", US_national_yearly!$D:$AM, 26, FALSE) / VLOOKUP("transport|SO2|Minor restricted activity days", US_national_yearly!$D:$AM, 10, FALSE), 1)</f>
        <v>0.28437287789016513</v>
      </c>
      <c r="S14" s="7">
        <f>$B14 * IFERROR(VLOOKUP("transport|SO2|Minor restricted activity days", US_national_yearly!$D:$AM, 27, FALSE) / VLOOKUP("transport|SO2|Minor restricted activity days", US_national_yearly!$D:$AM, 10, FALSE), 1)</f>
        <v>0.28667001708936302</v>
      </c>
      <c r="T14" s="7">
        <f>$B14 * IFERROR(VLOOKUP("transport|SO2|Minor restricted activity days", US_national_yearly!$D:$AM, 28, FALSE) / VLOOKUP("transport|SO2|Minor restricted activity days", US_national_yearly!$D:$AM, 10, FALSE), 1)</f>
        <v>0.2889671562885609</v>
      </c>
      <c r="U14" s="7">
        <f>$B14 * IFERROR(VLOOKUP("transport|SO2|Minor restricted activity days", US_national_yearly!$D:$AM, 29, FALSE) / VLOOKUP("transport|SO2|Minor restricted activity days", US_national_yearly!$D:$AM, 10, FALSE), 1)</f>
        <v>0.29126429548775884</v>
      </c>
      <c r="V14" s="7">
        <f>$B14 * IFERROR(VLOOKUP("transport|SO2|Minor restricted activity days", US_national_yearly!$D:$AM, 30, FALSE) / VLOOKUP("transport|SO2|Minor restricted activity days", US_national_yearly!$D:$AM, 10, FALSE), 1)</f>
        <v>0.29356143468695672</v>
      </c>
      <c r="W14" s="7">
        <f>$B14 * IFERROR(VLOOKUP("transport|SO2|Minor restricted activity days", US_national_yearly!$D:$AM, 31, FALSE) / VLOOKUP("transport|SO2|Minor restricted activity days", US_national_yearly!$D:$AM, 10, FALSE), 1)</f>
        <v>0.29585857388615466</v>
      </c>
      <c r="X14" s="7">
        <f>$B14 * IFERROR(VLOOKUP("transport|SO2|Minor restricted activity days", US_national_yearly!$D:$AM, 32, FALSE) / VLOOKUP("transport|SO2|Minor restricted activity days", US_national_yearly!$D:$AM, 10, FALSE), 1)</f>
        <v>0.29787872475554533</v>
      </c>
      <c r="Y14" s="7">
        <f>$B14 * IFERROR(VLOOKUP("transport|SO2|Minor restricted activity days", US_national_yearly!$D:$AM, 33, FALSE) / VLOOKUP("transport|SO2|Minor restricted activity days", US_national_yearly!$D:$AM, 10, FALSE), 1)</f>
        <v>0.29989887562493595</v>
      </c>
      <c r="Z14" s="7">
        <f>$B14 * IFERROR(VLOOKUP("transport|SO2|Minor restricted activity days", US_national_yearly!$D:$AM, 34, FALSE) / VLOOKUP("transport|SO2|Minor restricted activity days", US_national_yearly!$D:$AM, 10, FALSE), 1)</f>
        <v>0.30191902649432661</v>
      </c>
      <c r="AA14" s="7">
        <f>$B14 * IFERROR(VLOOKUP("transport|SO2|Minor restricted activity days", US_national_yearly!$D:$AM, 35, FALSE) / VLOOKUP("transport|SO2|Minor restricted activity days", US_national_yearly!$D:$AM, 10, FALSE), 1)</f>
        <v>0.30393917736371728</v>
      </c>
      <c r="AB14" s="7">
        <f>$B14 * IFERROR(VLOOKUP("transport|SO2|Minor restricted activity days", US_national_yearly!$D:$AM, 36, FALSE) / VLOOKUP("transport|SO2|Minor restricted activity days", US_national_yearly!$D:$AM, 10, FALSE), 1)</f>
        <v>0.30595932823310795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4.4256995044315253E-2</v>
      </c>
      <c r="C15" s="7">
        <f>$B15 * IFERROR(VLOOKUP("transport|SO2|Work loss days", US_national_yearly!$D:$AM, 11, FALSE) / VLOOKUP("transport|SO2|Work loss days", US_national_yearly!$D:$AM, 10, FALSE), 1)</f>
        <v>4.4400380674231667E-2</v>
      </c>
      <c r="D15" s="7">
        <f>$B15 * IFERROR(VLOOKUP("transport|SO2|Work loss days", US_national_yearly!$D:$AM, 12, FALSE) / VLOOKUP("transport|SO2|Work loss days", US_national_yearly!$D:$AM, 10, FALSE), 1)</f>
        <v>4.4543766304148073E-2</v>
      </c>
      <c r="E15" s="7">
        <f>$B15 * IFERROR(VLOOKUP("transport|SO2|Work loss days", US_national_yearly!$D:$AM, 13, FALSE) / VLOOKUP("transport|SO2|Work loss days", US_national_yearly!$D:$AM, 10, FALSE), 1)</f>
        <v>4.4687151934064487E-2</v>
      </c>
      <c r="F15" s="7">
        <f>$B15 * IFERROR(VLOOKUP("transport|SO2|Work loss days", US_national_yearly!$D:$AM, 14, FALSE) / VLOOKUP("transport|SO2|Work loss days", US_national_yearly!$D:$AM, 10, FALSE), 1)</f>
        <v>4.48305375639809E-2</v>
      </c>
      <c r="G15" s="7">
        <f>$B15 * IFERROR(VLOOKUP("transport|SO2|Work loss days", US_national_yearly!$D:$AM, 15, FALSE) / VLOOKUP("transport|SO2|Work loss days", US_national_yearly!$D:$AM, 10, FALSE), 1)</f>
        <v>4.5017888433819868E-2</v>
      </c>
      <c r="H15" s="7">
        <f>$B15 * IFERROR(VLOOKUP("transport|SO2|Work loss days", US_national_yearly!$D:$AM, 16, FALSE) / VLOOKUP("transport|SO2|Work loss days", US_national_yearly!$D:$AM, 10, FALSE), 1)</f>
        <v>4.5205239303658828E-2</v>
      </c>
      <c r="I15" s="7">
        <f>$B15 * IFERROR(VLOOKUP("transport|SO2|Work loss days", US_national_yearly!$D:$AM, 17, FALSE) / VLOOKUP("transport|SO2|Work loss days", US_national_yearly!$D:$AM, 10, FALSE), 1)</f>
        <v>4.54793084761934E-2</v>
      </c>
      <c r="J15" s="7">
        <f>$B15 * IFERROR(VLOOKUP("transport|SO2|Work loss days", US_national_yearly!$D:$AM, 18, FALSE) / VLOOKUP("transport|SO2|Work loss days", US_national_yearly!$D:$AM, 10, FALSE), 1)</f>
        <v>4.5753377648727965E-2</v>
      </c>
      <c r="K15" s="7">
        <f>$B15 * IFERROR(VLOOKUP("transport|SO2|Work loss days", US_national_yearly!$D:$AM, 19, FALSE) / VLOOKUP("transport|SO2|Work loss days", US_national_yearly!$D:$AM, 10, FALSE), 1)</f>
        <v>4.602744682126253E-2</v>
      </c>
      <c r="L15" s="7">
        <f>$B15 * IFERROR(VLOOKUP("transport|SO2|Work loss days", US_national_yearly!$D:$AM, 20, FALSE) / VLOOKUP("transport|SO2|Work loss days", US_national_yearly!$D:$AM, 10, FALSE), 1)</f>
        <v>4.6301515993797102E-2</v>
      </c>
      <c r="M15" s="7">
        <f>$B15 * IFERROR(VLOOKUP("transport|SO2|Work loss days", US_national_yearly!$D:$AM, 21, FALSE) / VLOOKUP("transport|SO2|Work loss days", US_national_yearly!$D:$AM, 10, FALSE), 1)</f>
        <v>4.6575585166331673E-2</v>
      </c>
      <c r="N15" s="7">
        <f>$B15 * IFERROR(VLOOKUP("transport|SO2|Work loss days", US_national_yearly!$D:$AM, 22, FALSE) / VLOOKUP("transport|SO2|Work loss days", US_national_yearly!$D:$AM, 10, FALSE), 1)</f>
        <v>4.6919223495622164E-2</v>
      </c>
      <c r="O15" s="7">
        <f>$B15 * IFERROR(VLOOKUP("transport|SO2|Work loss days", US_national_yearly!$D:$AM, 23, FALSE) / VLOOKUP("transport|SO2|Work loss days", US_national_yearly!$D:$AM, 10, FALSE), 1)</f>
        <v>4.7262861824912648E-2</v>
      </c>
      <c r="P15" s="7">
        <f>$B15 * IFERROR(VLOOKUP("transport|SO2|Work loss days", US_national_yearly!$D:$AM, 24, FALSE) / VLOOKUP("transport|SO2|Work loss days", US_national_yearly!$D:$AM, 10, FALSE), 1)</f>
        <v>4.7606500154203125E-2</v>
      </c>
      <c r="Q15" s="7">
        <f>$B15 * IFERROR(VLOOKUP("transport|SO2|Work loss days", US_national_yearly!$D:$AM, 25, FALSE) / VLOOKUP("transport|SO2|Work loss days", US_national_yearly!$D:$AM, 10, FALSE), 1)</f>
        <v>4.7950138483493616E-2</v>
      </c>
      <c r="R15" s="7">
        <f>$B15 * IFERROR(VLOOKUP("transport|SO2|Work loss days", US_national_yearly!$D:$AM, 26, FALSE) / VLOOKUP("transport|SO2|Work loss days", US_national_yearly!$D:$AM, 10, FALSE), 1)</f>
        <v>4.8293776812784101E-2</v>
      </c>
      <c r="S15" s="7">
        <f>$B15 * IFERROR(VLOOKUP("transport|SO2|Work loss days", US_national_yearly!$D:$AM, 27, FALSE) / VLOOKUP("transport|SO2|Work loss days", US_national_yearly!$D:$AM, 10, FALSE), 1)</f>
        <v>4.8677791512805116E-2</v>
      </c>
      <c r="T15" s="7">
        <f>$B15 * IFERROR(VLOOKUP("transport|SO2|Work loss days", US_national_yearly!$D:$AM, 28, FALSE) / VLOOKUP("transport|SO2|Work loss days", US_national_yearly!$D:$AM, 10, FALSE), 1)</f>
        <v>4.9061806212826145E-2</v>
      </c>
      <c r="U15" s="7">
        <f>$B15 * IFERROR(VLOOKUP("transport|SO2|Work loss days", US_national_yearly!$D:$AM, 29, FALSE) / VLOOKUP("transport|SO2|Work loss days", US_national_yearly!$D:$AM, 10, FALSE), 1)</f>
        <v>4.944582091284716E-2</v>
      </c>
      <c r="V15" s="7">
        <f>$B15 * IFERROR(VLOOKUP("transport|SO2|Work loss days", US_national_yearly!$D:$AM, 30, FALSE) / VLOOKUP("transport|SO2|Work loss days", US_national_yearly!$D:$AM, 10, FALSE), 1)</f>
        <v>4.9829835612868176E-2</v>
      </c>
      <c r="W15" s="7">
        <f>$B15 * IFERROR(VLOOKUP("transport|SO2|Work loss days", US_national_yearly!$D:$AM, 31, FALSE) / VLOOKUP("transport|SO2|Work loss days", US_national_yearly!$D:$AM, 10, FALSE), 1)</f>
        <v>5.0213850312889205E-2</v>
      </c>
      <c r="X15" s="7">
        <f>$B15 * IFERROR(VLOOKUP("transport|SO2|Work loss days", US_national_yearly!$D:$AM, 32, FALSE) / VLOOKUP("transport|SO2|Work loss days", US_national_yearly!$D:$AM, 10, FALSE), 1)</f>
        <v>5.055864258222157E-2</v>
      </c>
      <c r="Y15" s="7">
        <f>$B15 * IFERROR(VLOOKUP("transport|SO2|Work loss days", US_national_yearly!$D:$AM, 33, FALSE) / VLOOKUP("transport|SO2|Work loss days", US_national_yearly!$D:$AM, 10, FALSE), 1)</f>
        <v>5.090343485155395E-2</v>
      </c>
      <c r="Z15" s="7">
        <f>$B15 * IFERROR(VLOOKUP("transport|SO2|Work loss days", US_national_yearly!$D:$AM, 34, FALSE) / VLOOKUP("transport|SO2|Work loss days", US_national_yearly!$D:$AM, 10, FALSE), 1)</f>
        <v>5.1248227120886329E-2</v>
      </c>
      <c r="AA15" s="7">
        <f>$B15 * IFERROR(VLOOKUP("transport|SO2|Work loss days", US_national_yearly!$D:$AM, 35, FALSE) / VLOOKUP("transport|SO2|Work loss days", US_national_yearly!$D:$AM, 10, FALSE), 1)</f>
        <v>5.1593019390218701E-2</v>
      </c>
      <c r="AB15" s="7">
        <f>$B15 * IFERROR(VLOOKUP("transport|SO2|Work loss days", US_national_yearly!$D:$AM, 36, FALSE) / VLOOKUP("transport|SO2|Work loss days", US_national_yearly!$D:$AM, 10, FALSE), 1)</f>
        <v>5.1937811659551081E-2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7.4643988231466328E-5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7.6901508278899493E-5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7.9159028326332672E-5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8.1416548373765838E-5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8.367406842119903E-5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8.5836557970035433E-5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8.7999047518871862E-5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8.9851879056073136E-5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9.1704710593274423E-5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9.355754213047571E-5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9.5410373667676997E-5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9.7263205204878257E-5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9.8507885941804968E-5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9.9752566678731666E-5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1.0099724741565836E-4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1.0224192815258506E-4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1.0348660888951179E-4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1.0414122233578398E-4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1.0479583578205618E-4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1.0545044922832839E-4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1.0610506267460059E-4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1.067596761208728E-4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1.0719913976722255E-4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1.0763860341357231E-4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1.0807806705992206E-4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1.0851753070627183E-4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1.0895699435262157E-4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1.291375067895183E-3</v>
      </c>
      <c r="C2" s="7">
        <f>$B2 * IFERROR(VLOOKUP("electricity|PM25|Premature mortality", US_national_yearly!$D:$AM, 11, FALSE) / VLOOKUP("electricity|PM25|Premature mortality", US_national_yearly!$D:$AM, 10, FALSE), 1)</f>
        <v>1.3073703464947703E-3</v>
      </c>
      <c r="D2" s="7">
        <f>$B2 * IFERROR(VLOOKUP("electricity|PM25|Premature mortality", US_national_yearly!$D:$AM, 12, FALSE) / VLOOKUP("electricity|PM25|Premature mortality", US_national_yearly!$D:$AM, 10, FALSE), 1)</f>
        <v>1.3233656250943577E-3</v>
      </c>
      <c r="E2" s="7">
        <f>$B2 * IFERROR(VLOOKUP("electricity|PM25|Premature mortality", US_national_yearly!$D:$AM, 13, FALSE) / VLOOKUP("electricity|PM25|Premature mortality", US_national_yearly!$D:$AM, 10, FALSE), 1)</f>
        <v>1.3393609036939451E-3</v>
      </c>
      <c r="F2" s="7">
        <f>$B2 * IFERROR(VLOOKUP("electricity|PM25|Premature mortality", US_national_yearly!$D:$AM, 14, FALSE) / VLOOKUP("electricity|PM25|Premature mortality", US_national_yearly!$D:$AM, 10, FALSE), 1)</f>
        <v>1.3553561822935328E-3</v>
      </c>
      <c r="G2" s="7">
        <f>$B2 * IFERROR(VLOOKUP("electricity|PM25|Premature mortality", US_national_yearly!$D:$AM, 15, FALSE) / VLOOKUP("electricity|PM25|Premature mortality", US_national_yearly!$D:$AM, 10, FALSE), 1)</f>
        <v>1.3867717601188311E-3</v>
      </c>
      <c r="H2" s="7">
        <f>$B2 * IFERROR(VLOOKUP("electricity|PM25|Premature mortality", US_national_yearly!$D:$AM, 16, FALSE) / VLOOKUP("electricity|PM25|Premature mortality", US_national_yearly!$D:$AM, 10, FALSE), 1)</f>
        <v>1.4181873379441299E-3</v>
      </c>
      <c r="I2" s="7">
        <f>$B2 * IFERROR(VLOOKUP("electricity|PM25|Premature mortality", US_national_yearly!$D:$AM, 17, FALSE) / VLOOKUP("electricity|PM25|Premature mortality", US_national_yearly!$D:$AM, 10, FALSE), 1)</f>
        <v>1.4392957315405768E-3</v>
      </c>
      <c r="J2" s="7">
        <f>$B2 * IFERROR(VLOOKUP("electricity|PM25|Premature mortality", US_national_yearly!$D:$AM, 18, FALSE) / VLOOKUP("electricity|PM25|Premature mortality", US_national_yearly!$D:$AM, 10, FALSE), 1)</f>
        <v>1.4604041251370236E-3</v>
      </c>
      <c r="K2" s="7">
        <f>$B2 * IFERROR(VLOOKUP("electricity|PM25|Premature mortality", US_national_yearly!$D:$AM, 19, FALSE) / VLOOKUP("electricity|PM25|Premature mortality", US_national_yearly!$D:$AM, 10, FALSE), 1)</f>
        <v>1.4815125187334704E-3</v>
      </c>
      <c r="L2" s="7">
        <f>$B2 * IFERROR(VLOOKUP("electricity|PM25|Premature mortality", US_national_yearly!$D:$AM, 20, FALSE) / VLOOKUP("electricity|PM25|Premature mortality", US_national_yearly!$D:$AM, 10, FALSE), 1)</f>
        <v>1.5026209123299174E-3</v>
      </c>
      <c r="M2" s="7">
        <f>$B2 * IFERROR(VLOOKUP("electricity|PM25|Premature mortality", US_national_yearly!$D:$AM, 21, FALSE) / VLOOKUP("electricity|PM25|Premature mortality", US_national_yearly!$D:$AM, 10, FALSE), 1)</f>
        <v>1.5237293059263642E-3</v>
      </c>
      <c r="N2" s="7">
        <f>$B2 * IFERROR(VLOOKUP("electricity|PM25|Premature mortality", US_national_yearly!$D:$AM, 22, FALSE) / VLOOKUP("electricity|PM25|Premature mortality", US_national_yearly!$D:$AM, 10, FALSE), 1)</f>
        <v>1.5405550854411898E-3</v>
      </c>
      <c r="O2" s="7">
        <f>$B2 * IFERROR(VLOOKUP("electricity|PM25|Premature mortality", US_national_yearly!$D:$AM, 23, FALSE) / VLOOKUP("electricity|PM25|Premature mortality", US_national_yearly!$D:$AM, 10, FALSE), 1)</f>
        <v>1.5573808649560149E-3</v>
      </c>
      <c r="P2" s="7">
        <f>$B2 * IFERROR(VLOOKUP("electricity|PM25|Premature mortality", US_national_yearly!$D:$AM, 24, FALSE) / VLOOKUP("electricity|PM25|Premature mortality", US_national_yearly!$D:$AM, 10, FALSE), 1)</f>
        <v>1.5742066444708405E-3</v>
      </c>
      <c r="Q2" s="7">
        <f>$B2 * IFERROR(VLOOKUP("electricity|PM25|Premature mortality", US_national_yearly!$D:$AM, 25, FALSE) / VLOOKUP("electricity|PM25|Premature mortality", US_national_yearly!$D:$AM, 10, FALSE), 1)</f>
        <v>1.5910324239856656E-3</v>
      </c>
      <c r="R2" s="7">
        <f>$B2 * IFERROR(VLOOKUP("electricity|PM25|Premature mortality", US_national_yearly!$D:$AM, 26, FALSE) / VLOOKUP("electricity|PM25|Premature mortality", US_national_yearly!$D:$AM, 10, FALSE), 1)</f>
        <v>1.6078582035004912E-3</v>
      </c>
      <c r="S2" s="7">
        <f>$B2 * IFERROR(VLOOKUP("electricity|PM25|Premature mortality", US_national_yearly!$D:$AM, 27, FALSE) / VLOOKUP("electricity|PM25|Premature mortality", US_national_yearly!$D:$AM, 10, FALSE), 1)</f>
        <v>1.6174860047208151E-3</v>
      </c>
      <c r="T2" s="7">
        <f>$B2 * IFERROR(VLOOKUP("electricity|PM25|Premature mortality", US_national_yearly!$D:$AM, 28, FALSE) / VLOOKUP("electricity|PM25|Premature mortality", US_national_yearly!$D:$AM, 10, FALSE), 1)</f>
        <v>1.6271138059411386E-3</v>
      </c>
      <c r="U2" s="7">
        <f>$B2 * IFERROR(VLOOKUP("electricity|PM25|Premature mortality", US_national_yearly!$D:$AM, 29, FALSE) / VLOOKUP("electricity|PM25|Premature mortality", US_national_yearly!$D:$AM, 10, FALSE), 1)</f>
        <v>1.6367416071614625E-3</v>
      </c>
      <c r="V2" s="7">
        <f>$B2 * IFERROR(VLOOKUP("electricity|PM25|Premature mortality", US_national_yearly!$D:$AM, 30, FALSE) / VLOOKUP("electricity|PM25|Premature mortality", US_national_yearly!$D:$AM, 10, FALSE), 1)</f>
        <v>1.646369408381786E-3</v>
      </c>
      <c r="W2" s="7">
        <f>$B2 * IFERROR(VLOOKUP("electricity|PM25|Premature mortality", US_national_yearly!$D:$AM, 31, FALSE) / VLOOKUP("electricity|PM25|Premature mortality", US_national_yearly!$D:$AM, 10, FALSE), 1)</f>
        <v>1.65599720960211E-3</v>
      </c>
      <c r="X2" s="7">
        <f>$B2 * IFERROR(VLOOKUP("electricity|PM25|Premature mortality", US_national_yearly!$D:$AM, 32, FALSE) / VLOOKUP("electricity|PM25|Premature mortality", US_national_yearly!$D:$AM, 10, FALSE), 1)</f>
        <v>1.6586717505316742E-3</v>
      </c>
      <c r="Y2" s="7">
        <f>$B2 * IFERROR(VLOOKUP("electricity|PM25|Premature mortality", US_national_yearly!$D:$AM, 33, FALSE) / VLOOKUP("electricity|PM25|Premature mortality", US_national_yearly!$D:$AM, 10, FALSE), 1)</f>
        <v>1.6613462914612386E-3</v>
      </c>
      <c r="Z2" s="7">
        <f>$B2 * IFERROR(VLOOKUP("electricity|PM25|Premature mortality", US_national_yearly!$D:$AM, 34, FALSE) / VLOOKUP("electricity|PM25|Premature mortality", US_national_yearly!$D:$AM, 10, FALSE), 1)</f>
        <v>1.6640208323908028E-3</v>
      </c>
      <c r="AA2" s="7">
        <f>$B2 * IFERROR(VLOOKUP("electricity|PM25|Premature mortality", US_national_yearly!$D:$AM, 35, FALSE) / VLOOKUP("electricity|PM25|Premature mortality", US_national_yearly!$D:$AM, 10, FALSE), 1)</f>
        <v>1.6666953733203674E-3</v>
      </c>
      <c r="AB2" s="7">
        <f>$B2 * IFERROR(VLOOKUP("electricity|PM25|Premature mortality", US_national_yearly!$D:$AM, 36, FALSE) / VLOOKUP("electricity|PM25|Premature mortality", US_national_yearly!$D:$AM, 10, FALSE), 1)</f>
        <v>1.6693699142499318E-3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3.5746956364160597E-6</v>
      </c>
      <c r="C3" s="7">
        <f>$B3 * IFERROR(VLOOKUP("electricity|PM25|Infant mortality", US_national_yearly!$D:$AM, 11, FALSE) / VLOOKUP("electricity|PM25|Infant mortality", US_national_yearly!$D:$AM, 10, FALSE), 1)</f>
        <v>3.5435493223402358E-6</v>
      </c>
      <c r="D3" s="7">
        <f>$B3 * IFERROR(VLOOKUP("electricity|PM25|Infant mortality", US_national_yearly!$D:$AM, 12, FALSE) / VLOOKUP("electricity|PM25|Infant mortality", US_national_yearly!$D:$AM, 10, FALSE), 1)</f>
        <v>3.5124030082644123E-6</v>
      </c>
      <c r="E3" s="7">
        <f>$B3 * IFERROR(VLOOKUP("electricity|PM25|Infant mortality", US_national_yearly!$D:$AM, 13, FALSE) / VLOOKUP("electricity|PM25|Infant mortality", US_national_yearly!$D:$AM, 10, FALSE), 1)</f>
        <v>3.4812566941885883E-6</v>
      </c>
      <c r="F3" s="7">
        <f>$B3 * IFERROR(VLOOKUP("electricity|PM25|Infant mortality", US_national_yearly!$D:$AM, 14, FALSE) / VLOOKUP("electricity|PM25|Infant mortality", US_national_yearly!$D:$AM, 10, FALSE), 1)</f>
        <v>3.4501103801127644E-6</v>
      </c>
      <c r="G3" s="7">
        <f>$B3 * IFERROR(VLOOKUP("electricity|PM25|Infant mortality", US_national_yearly!$D:$AM, 15, FALSE) / VLOOKUP("electricity|PM25|Infant mortality", US_national_yearly!$D:$AM, 10, FALSE), 1)</f>
        <v>2.2880056696162966E-6</v>
      </c>
      <c r="H3" s="7">
        <f>$B3 * IFERROR(VLOOKUP("electricity|PM25|Infant mortality", US_national_yearly!$D:$AM, 16, FALSE) / VLOOKUP("electricity|PM25|Infant mortality", US_national_yearly!$D:$AM, 10, FALSE), 1)</f>
        <v>1.1259009591198292E-6</v>
      </c>
      <c r="I3" s="7">
        <f>$B3 * IFERROR(VLOOKUP("electricity|PM25|Infant mortality", US_national_yearly!$D:$AM, 17, FALSE) / VLOOKUP("electricity|PM25|Infant mortality", US_national_yearly!$D:$AM, 10, FALSE), 1)</f>
        <v>1.1179515824332237E-6</v>
      </c>
      <c r="J3" s="7">
        <f>$B3 * IFERROR(VLOOKUP("electricity|PM25|Infant mortality", US_national_yearly!$D:$AM, 18, FALSE) / VLOOKUP("electricity|PM25|Infant mortality", US_national_yearly!$D:$AM, 10, FALSE), 1)</f>
        <v>1.1100022057466187E-6</v>
      </c>
      <c r="K3" s="7">
        <f>$B3 * IFERROR(VLOOKUP("electricity|PM25|Infant mortality", US_national_yearly!$D:$AM, 19, FALSE) / VLOOKUP("electricity|PM25|Infant mortality", US_national_yearly!$D:$AM, 10, FALSE), 1)</f>
        <v>1.1020528290600132E-6</v>
      </c>
      <c r="L3" s="7">
        <f>$B3 * IFERROR(VLOOKUP("electricity|PM25|Infant mortality", US_national_yearly!$D:$AM, 20, FALSE) / VLOOKUP("electricity|PM25|Infant mortality", US_national_yearly!$D:$AM, 10, FALSE), 1)</f>
        <v>1.094103452373408E-6</v>
      </c>
      <c r="M3" s="7">
        <f>$B3 * IFERROR(VLOOKUP("electricity|PM25|Infant mortality", US_national_yearly!$D:$AM, 21, FALSE) / VLOOKUP("electricity|PM25|Infant mortality", US_national_yearly!$D:$AM, 10, FALSE), 1)</f>
        <v>1.0861540756868027E-6</v>
      </c>
      <c r="N3" s="7">
        <f>$B3 * IFERROR(VLOOKUP("electricity|PM25|Infant mortality", US_national_yearly!$D:$AM, 22, FALSE) / VLOOKUP("electricity|PM25|Infant mortality", US_national_yearly!$D:$AM, 10, FALSE), 1)</f>
        <v>1.0810415710569041E-6</v>
      </c>
      <c r="O3" s="7">
        <f>$B3 * IFERROR(VLOOKUP("electricity|PM25|Infant mortality", US_national_yearly!$D:$AM, 23, FALSE) / VLOOKUP("electricity|PM25|Infant mortality", US_national_yearly!$D:$AM, 10, FALSE), 1)</f>
        <v>1.0759290664270055E-6</v>
      </c>
      <c r="P3" s="7">
        <f>$B3 * IFERROR(VLOOKUP("electricity|PM25|Infant mortality", US_national_yearly!$D:$AM, 24, FALSE) / VLOOKUP("electricity|PM25|Infant mortality", US_national_yearly!$D:$AM, 10, FALSE), 1)</f>
        <v>1.0708165617971067E-6</v>
      </c>
      <c r="Q3" s="7">
        <f>$B3 * IFERROR(VLOOKUP("electricity|PM25|Infant mortality", US_national_yearly!$D:$AM, 25, FALSE) / VLOOKUP("electricity|PM25|Infant mortality", US_national_yearly!$D:$AM, 10, FALSE), 1)</f>
        <v>1.0657040571672081E-6</v>
      </c>
      <c r="R3" s="7">
        <f>$B3 * IFERROR(VLOOKUP("electricity|PM25|Infant mortality", US_national_yearly!$D:$AM, 26, FALSE) / VLOOKUP("electricity|PM25|Infant mortality", US_national_yearly!$D:$AM, 10, FALSE), 1)</f>
        <v>1.0605915525373093E-6</v>
      </c>
      <c r="S3" s="7">
        <f>$B3 * IFERROR(VLOOKUP("electricity|PM25|Infant mortality", US_national_yearly!$D:$AM, 27, FALSE) / VLOOKUP("electricity|PM25|Infant mortality", US_national_yearly!$D:$AM, 10, FALSE), 1)</f>
        <v>1.0544666577440184E-6</v>
      </c>
      <c r="T3" s="7">
        <f>$B3 * IFERROR(VLOOKUP("electricity|PM25|Infant mortality", US_national_yearly!$D:$AM, 28, FALSE) / VLOOKUP("electricity|PM25|Infant mortality", US_national_yearly!$D:$AM, 10, FALSE), 1)</f>
        <v>1.0483417629507276E-6</v>
      </c>
      <c r="U3" s="7">
        <f>$B3 * IFERROR(VLOOKUP("electricity|PM25|Infant mortality", US_national_yearly!$D:$AM, 29, FALSE) / VLOOKUP("electricity|PM25|Infant mortality", US_national_yearly!$D:$AM, 10, FALSE), 1)</f>
        <v>1.0422168681574369E-6</v>
      </c>
      <c r="V3" s="7">
        <f>$B3 * IFERROR(VLOOKUP("electricity|PM25|Infant mortality", US_national_yearly!$D:$AM, 30, FALSE) / VLOOKUP("electricity|PM25|Infant mortality", US_national_yearly!$D:$AM, 10, FALSE), 1)</f>
        <v>1.0360919733641459E-6</v>
      </c>
      <c r="W3" s="7">
        <f>$B3 * IFERROR(VLOOKUP("electricity|PM25|Infant mortality", US_national_yearly!$D:$AM, 31, FALSE) / VLOOKUP("electricity|PM25|Infant mortality", US_national_yearly!$D:$AM, 10, FALSE), 1)</f>
        <v>1.0299670785708552E-6</v>
      </c>
      <c r="X3" s="7">
        <f>$B3 * IFERROR(VLOOKUP("electricity|PM25|Infant mortality", US_national_yearly!$D:$AM, 32, FALSE) / VLOOKUP("electricity|PM25|Infant mortality", US_national_yearly!$D:$AM, 10, FALSE), 1)</f>
        <v>1.0236377645300584E-6</v>
      </c>
      <c r="Y3" s="7">
        <f>$B3 * IFERROR(VLOOKUP("electricity|PM25|Infant mortality", US_national_yearly!$D:$AM, 33, FALSE) / VLOOKUP("electricity|PM25|Infant mortality", US_national_yearly!$D:$AM, 10, FALSE), 1)</f>
        <v>1.0173084504892618E-6</v>
      </c>
      <c r="Z3" s="7">
        <f>$B3 * IFERROR(VLOOKUP("electricity|PM25|Infant mortality", US_national_yearly!$D:$AM, 34, FALSE) / VLOOKUP("electricity|PM25|Infant mortality", US_national_yearly!$D:$AM, 10, FALSE), 1)</f>
        <v>1.0109791364484653E-6</v>
      </c>
      <c r="AA3" s="7">
        <f>$B3 * IFERROR(VLOOKUP("electricity|PM25|Infant mortality", US_national_yearly!$D:$AM, 35, FALSE) / VLOOKUP("electricity|PM25|Infant mortality", US_national_yearly!$D:$AM, 10, FALSE), 1)</f>
        <v>1.0046498224076687E-6</v>
      </c>
      <c r="AB3" s="7">
        <f>$B3 * IFERROR(VLOOKUP("electricity|PM25|Infant mortality", US_national_yearly!$D:$AM, 36, FALSE) / VLOOKUP("electricity|PM25|Infant mortality", US_national_yearly!$D:$AM, 10, FALSE), 1)</f>
        <v>9.983205083668721E-7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3.5101236213661144E-3</v>
      </c>
      <c r="C6" s="7">
        <f>$B6 * IFERROR(VLOOKUP("electricity|PM25|Asthma symptoms cough", US_national_yearly!$D:$AM, 11, FALSE) / VLOOKUP("electricity|PM25|Asthma symptoms cough", US_national_yearly!$D:$AM, 10, FALSE), 1)</f>
        <v>3.5101236213661144E-3</v>
      </c>
      <c r="D6" s="7">
        <f>$B6 * IFERROR(VLOOKUP("electricity|PM25|Asthma symptoms cough", US_national_yearly!$D:$AM, 12, FALSE) / VLOOKUP("electricity|PM25|Asthma symptoms cough", US_national_yearly!$D:$AM, 10, FALSE), 1)</f>
        <v>3.5101236213661144E-3</v>
      </c>
      <c r="E6" s="7">
        <f>$B6 * IFERROR(VLOOKUP("electricity|PM25|Asthma symptoms cough", US_national_yearly!$D:$AM, 13, FALSE) / VLOOKUP("electricity|PM25|Asthma symptoms cough", US_national_yearly!$D:$AM, 10, FALSE), 1)</f>
        <v>3.5101236213661144E-3</v>
      </c>
      <c r="F6" s="7">
        <f>$B6 * IFERROR(VLOOKUP("electricity|PM25|Asthma symptoms cough", US_national_yearly!$D:$AM, 14, FALSE) / VLOOKUP("electricity|PM25|Asthma symptoms cough", US_national_yearly!$D:$AM, 10, FALSE), 1)</f>
        <v>3.5101236213661144E-3</v>
      </c>
      <c r="G6" s="7">
        <f>$B6 * IFERROR(VLOOKUP("electricity|PM25|Asthma symptoms cough", US_national_yearly!$D:$AM, 15, FALSE) / VLOOKUP("electricity|PM25|Asthma symptoms cough", US_national_yearly!$D:$AM, 10, FALSE), 1)</f>
        <v>3.5101236213661144E-3</v>
      </c>
      <c r="H6" s="7">
        <f>$B6 * IFERROR(VLOOKUP("electricity|PM25|Asthma symptoms cough", US_national_yearly!$D:$AM, 16, FALSE) / VLOOKUP("electricity|PM25|Asthma symptoms cough", US_national_yearly!$D:$AM, 10, FALSE), 1)</f>
        <v>3.5101236213661144E-3</v>
      </c>
      <c r="I6" s="7">
        <f>$B6 * IFERROR(VLOOKUP("electricity|PM25|Asthma symptoms cough", US_national_yearly!$D:$AM, 17, FALSE) / VLOOKUP("electricity|PM25|Asthma symptoms cough", US_national_yearly!$D:$AM, 10, FALSE), 1)</f>
        <v>3.5101236213661144E-3</v>
      </c>
      <c r="J6" s="7">
        <f>$B6 * IFERROR(VLOOKUP("electricity|PM25|Asthma symptoms cough", US_national_yearly!$D:$AM, 18, FALSE) / VLOOKUP("electricity|PM25|Asthma symptoms cough", US_national_yearly!$D:$AM, 10, FALSE), 1)</f>
        <v>3.5101236213661144E-3</v>
      </c>
      <c r="K6" s="7">
        <f>$B6 * IFERROR(VLOOKUP("electricity|PM25|Asthma symptoms cough", US_national_yearly!$D:$AM, 19, FALSE) / VLOOKUP("electricity|PM25|Asthma symptoms cough", US_national_yearly!$D:$AM, 10, FALSE), 1)</f>
        <v>3.5101236213661144E-3</v>
      </c>
      <c r="L6" s="7">
        <f>$B6 * IFERROR(VLOOKUP("electricity|PM25|Asthma symptoms cough", US_national_yearly!$D:$AM, 20, FALSE) / VLOOKUP("electricity|PM25|Asthma symptoms cough", US_national_yearly!$D:$AM, 10, FALSE), 1)</f>
        <v>3.5101236213661144E-3</v>
      </c>
      <c r="M6" s="7">
        <f>$B6 * IFERROR(VLOOKUP("electricity|PM25|Asthma symptoms cough", US_national_yearly!$D:$AM, 21, FALSE) / VLOOKUP("electricity|PM25|Asthma symptoms cough", US_national_yearly!$D:$AM, 10, FALSE), 1)</f>
        <v>3.5101236213661144E-3</v>
      </c>
      <c r="N6" s="7">
        <f>$B6 * IFERROR(VLOOKUP("electricity|PM25|Asthma symptoms cough", US_national_yearly!$D:$AM, 22, FALSE) / VLOOKUP("electricity|PM25|Asthma symptoms cough", US_national_yearly!$D:$AM, 10, FALSE), 1)</f>
        <v>3.5101236213661144E-3</v>
      </c>
      <c r="O6" s="7">
        <f>$B6 * IFERROR(VLOOKUP("electricity|PM25|Asthma symptoms cough", US_national_yearly!$D:$AM, 23, FALSE) / VLOOKUP("electricity|PM25|Asthma symptoms cough", US_national_yearly!$D:$AM, 10, FALSE), 1)</f>
        <v>3.5101236213661144E-3</v>
      </c>
      <c r="P6" s="7">
        <f>$B6 * IFERROR(VLOOKUP("electricity|PM25|Asthma symptoms cough", US_national_yearly!$D:$AM, 24, FALSE) / VLOOKUP("electricity|PM25|Asthma symptoms cough", US_national_yearly!$D:$AM, 10, FALSE), 1)</f>
        <v>3.5101236213661144E-3</v>
      </c>
      <c r="Q6" s="7">
        <f>$B6 * IFERROR(VLOOKUP("electricity|PM25|Asthma symptoms cough", US_national_yearly!$D:$AM, 25, FALSE) / VLOOKUP("electricity|PM25|Asthma symptoms cough", US_national_yearly!$D:$AM, 10, FALSE), 1)</f>
        <v>3.5101236213661144E-3</v>
      </c>
      <c r="R6" s="7">
        <f>$B6 * IFERROR(VLOOKUP("electricity|PM25|Asthma symptoms cough", US_national_yearly!$D:$AM, 26, FALSE) / VLOOKUP("electricity|PM25|Asthma symptoms cough", US_national_yearly!$D:$AM, 10, FALSE), 1)</f>
        <v>3.5101236213661144E-3</v>
      </c>
      <c r="S6" s="7">
        <f>$B6 * IFERROR(VLOOKUP("electricity|PM25|Asthma symptoms cough", US_national_yearly!$D:$AM, 27, FALSE) / VLOOKUP("electricity|PM25|Asthma symptoms cough", US_national_yearly!$D:$AM, 10, FALSE), 1)</f>
        <v>3.5101236213661144E-3</v>
      </c>
      <c r="T6" s="7">
        <f>$B6 * IFERROR(VLOOKUP("electricity|PM25|Asthma symptoms cough", US_national_yearly!$D:$AM, 28, FALSE) / VLOOKUP("electricity|PM25|Asthma symptoms cough", US_national_yearly!$D:$AM, 10, FALSE), 1)</f>
        <v>3.5101236213661144E-3</v>
      </c>
      <c r="U6" s="7">
        <f>$B6 * IFERROR(VLOOKUP("electricity|PM25|Asthma symptoms cough", US_national_yearly!$D:$AM, 29, FALSE) / VLOOKUP("electricity|PM25|Asthma symptoms cough", US_national_yearly!$D:$AM, 10, FALSE), 1)</f>
        <v>3.5101236213661144E-3</v>
      </c>
      <c r="V6" s="7">
        <f>$B6 * IFERROR(VLOOKUP("electricity|PM25|Asthma symptoms cough", US_national_yearly!$D:$AM, 30, FALSE) / VLOOKUP("electricity|PM25|Asthma symptoms cough", US_national_yearly!$D:$AM, 10, FALSE), 1)</f>
        <v>3.5101236213661144E-3</v>
      </c>
      <c r="W6" s="7">
        <f>$B6 * IFERROR(VLOOKUP("electricity|PM25|Asthma symptoms cough", US_national_yearly!$D:$AM, 31, FALSE) / VLOOKUP("electricity|PM25|Asthma symptoms cough", US_national_yearly!$D:$AM, 10, FALSE), 1)</f>
        <v>3.5101236213661144E-3</v>
      </c>
      <c r="X6" s="7">
        <f>$B6 * IFERROR(VLOOKUP("electricity|PM25|Asthma symptoms cough", US_national_yearly!$D:$AM, 32, FALSE) / VLOOKUP("electricity|PM25|Asthma symptoms cough", US_national_yearly!$D:$AM, 10, FALSE), 1)</f>
        <v>3.5101236213661144E-3</v>
      </c>
      <c r="Y6" s="7">
        <f>$B6 * IFERROR(VLOOKUP("electricity|PM25|Asthma symptoms cough", US_national_yearly!$D:$AM, 33, FALSE) / VLOOKUP("electricity|PM25|Asthma symptoms cough", US_national_yearly!$D:$AM, 10, FALSE), 1)</f>
        <v>3.5101236213661144E-3</v>
      </c>
      <c r="Z6" s="7">
        <f>$B6 * IFERROR(VLOOKUP("electricity|PM25|Asthma symptoms cough", US_national_yearly!$D:$AM, 34, FALSE) / VLOOKUP("electricity|PM25|Asthma symptoms cough", US_national_yearly!$D:$AM, 10, FALSE), 1)</f>
        <v>3.5101236213661144E-3</v>
      </c>
      <c r="AA6" s="7">
        <f>$B6 * IFERROR(VLOOKUP("electricity|PM25|Asthma symptoms cough", US_national_yearly!$D:$AM, 35, FALSE) / VLOOKUP("electricity|PM25|Asthma symptoms cough", US_national_yearly!$D:$AM, 10, FALSE), 1)</f>
        <v>3.5101236213661144E-3</v>
      </c>
      <c r="AB6" s="7">
        <f>$B6 * IFERROR(VLOOKUP("electricity|PM25|Asthma symptoms cough", US_national_yearly!$D:$AM, 36, FALSE) / VLOOKUP("electricity|PM25|Asthma symptoms cough", US_national_yearly!$D:$AM, 10, FALSE), 1)</f>
        <v>3.5101236213661144E-3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4.7268908875468625E-3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4.7268908875468625E-3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4.7268908875468625E-3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4.7268908875468625E-3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4.7268908875468625E-3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4.7268908875468625E-3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4.7268908875468625E-3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4.7268908875468625E-3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4.7268908875468625E-3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4.7268908875468625E-3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4.7268908875468625E-3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4.7268908875468625E-3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4.7268908875468625E-3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4.7268908875468625E-3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4.7268908875468625E-3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4.7268908875468625E-3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4.7268908875468625E-3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4.7268908875468625E-3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4.7268908875468625E-3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4.7268908875468625E-3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4.7268908875468625E-3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4.7268908875468625E-3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4.7268908875468625E-3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4.7268908875468625E-3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4.7268908875468625E-3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4.7268908875468625E-3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4.7268908875468625E-3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7.221887824396386E-3</v>
      </c>
      <c r="C8" s="7">
        <f>$B8 * IFERROR(VLOOKUP("electricity|PM25|Asthma symptoms wheeze", US_national_yearly!$D:$AM, 11, FALSE) / VLOOKUP("electricity|PM25|Asthma symptoms wheeze", US_national_yearly!$D:$AM, 10, FALSE), 1)</f>
        <v>7.221887824396386E-3</v>
      </c>
      <c r="D8" s="7">
        <f>$B8 * IFERROR(VLOOKUP("electricity|PM25|Asthma symptoms wheeze", US_national_yearly!$D:$AM, 12, FALSE) / VLOOKUP("electricity|PM25|Asthma symptoms wheeze", US_national_yearly!$D:$AM, 10, FALSE), 1)</f>
        <v>7.221887824396386E-3</v>
      </c>
      <c r="E8" s="7">
        <f>$B8 * IFERROR(VLOOKUP("electricity|PM25|Asthma symptoms wheeze", US_national_yearly!$D:$AM, 13, FALSE) / VLOOKUP("electricity|PM25|Asthma symptoms wheeze", US_national_yearly!$D:$AM, 10, FALSE), 1)</f>
        <v>7.221887824396386E-3</v>
      </c>
      <c r="F8" s="7">
        <f>$B8 * IFERROR(VLOOKUP("electricity|PM25|Asthma symptoms wheeze", US_national_yearly!$D:$AM, 14, FALSE) / VLOOKUP("electricity|PM25|Asthma symptoms wheeze", US_national_yearly!$D:$AM, 10, FALSE), 1)</f>
        <v>7.221887824396386E-3</v>
      </c>
      <c r="G8" s="7">
        <f>$B8 * IFERROR(VLOOKUP("electricity|PM25|Asthma symptoms wheeze", US_national_yearly!$D:$AM, 15, FALSE) / VLOOKUP("electricity|PM25|Asthma symptoms wheeze", US_national_yearly!$D:$AM, 10, FALSE), 1)</f>
        <v>7.221887824396386E-3</v>
      </c>
      <c r="H8" s="7">
        <f>$B8 * IFERROR(VLOOKUP("electricity|PM25|Asthma symptoms wheeze", US_national_yearly!$D:$AM, 16, FALSE) / VLOOKUP("electricity|PM25|Asthma symptoms wheeze", US_national_yearly!$D:$AM, 10, FALSE), 1)</f>
        <v>7.221887824396386E-3</v>
      </c>
      <c r="I8" s="7">
        <f>$B8 * IFERROR(VLOOKUP("electricity|PM25|Asthma symptoms wheeze", US_national_yearly!$D:$AM, 17, FALSE) / VLOOKUP("electricity|PM25|Asthma symptoms wheeze", US_national_yearly!$D:$AM, 10, FALSE), 1)</f>
        <v>7.221887824396386E-3</v>
      </c>
      <c r="J8" s="7">
        <f>$B8 * IFERROR(VLOOKUP("electricity|PM25|Asthma symptoms wheeze", US_national_yearly!$D:$AM, 18, FALSE) / VLOOKUP("electricity|PM25|Asthma symptoms wheeze", US_national_yearly!$D:$AM, 10, FALSE), 1)</f>
        <v>7.221887824396386E-3</v>
      </c>
      <c r="K8" s="7">
        <f>$B8 * IFERROR(VLOOKUP("electricity|PM25|Asthma symptoms wheeze", US_national_yearly!$D:$AM, 19, FALSE) / VLOOKUP("electricity|PM25|Asthma symptoms wheeze", US_national_yearly!$D:$AM, 10, FALSE), 1)</f>
        <v>7.221887824396386E-3</v>
      </c>
      <c r="L8" s="7">
        <f>$B8 * IFERROR(VLOOKUP("electricity|PM25|Asthma symptoms wheeze", US_national_yearly!$D:$AM, 20, FALSE) / VLOOKUP("electricity|PM25|Asthma symptoms wheeze", US_national_yearly!$D:$AM, 10, FALSE), 1)</f>
        <v>7.221887824396386E-3</v>
      </c>
      <c r="M8" s="7">
        <f>$B8 * IFERROR(VLOOKUP("electricity|PM25|Asthma symptoms wheeze", US_national_yearly!$D:$AM, 21, FALSE) / VLOOKUP("electricity|PM25|Asthma symptoms wheeze", US_national_yearly!$D:$AM, 10, FALSE), 1)</f>
        <v>7.221887824396386E-3</v>
      </c>
      <c r="N8" s="7">
        <f>$B8 * IFERROR(VLOOKUP("electricity|PM25|Asthma symptoms wheeze", US_national_yearly!$D:$AM, 22, FALSE) / VLOOKUP("electricity|PM25|Asthma symptoms wheeze", US_national_yearly!$D:$AM, 10, FALSE), 1)</f>
        <v>7.221887824396386E-3</v>
      </c>
      <c r="O8" s="7">
        <f>$B8 * IFERROR(VLOOKUP("electricity|PM25|Asthma symptoms wheeze", US_national_yearly!$D:$AM, 23, FALSE) / VLOOKUP("electricity|PM25|Asthma symptoms wheeze", US_national_yearly!$D:$AM, 10, FALSE), 1)</f>
        <v>7.221887824396386E-3</v>
      </c>
      <c r="P8" s="7">
        <f>$B8 * IFERROR(VLOOKUP("electricity|PM25|Asthma symptoms wheeze", US_national_yearly!$D:$AM, 24, FALSE) / VLOOKUP("electricity|PM25|Asthma symptoms wheeze", US_national_yearly!$D:$AM, 10, FALSE), 1)</f>
        <v>7.221887824396386E-3</v>
      </c>
      <c r="Q8" s="7">
        <f>$B8 * IFERROR(VLOOKUP("electricity|PM25|Asthma symptoms wheeze", US_national_yearly!$D:$AM, 25, FALSE) / VLOOKUP("electricity|PM25|Asthma symptoms wheeze", US_national_yearly!$D:$AM, 10, FALSE), 1)</f>
        <v>7.221887824396386E-3</v>
      </c>
      <c r="R8" s="7">
        <f>$B8 * IFERROR(VLOOKUP("electricity|PM25|Asthma symptoms wheeze", US_national_yearly!$D:$AM, 26, FALSE) / VLOOKUP("electricity|PM25|Asthma symptoms wheeze", US_national_yearly!$D:$AM, 10, FALSE), 1)</f>
        <v>7.221887824396386E-3</v>
      </c>
      <c r="S8" s="7">
        <f>$B8 * IFERROR(VLOOKUP("electricity|PM25|Asthma symptoms wheeze", US_national_yearly!$D:$AM, 27, FALSE) / VLOOKUP("electricity|PM25|Asthma symptoms wheeze", US_national_yearly!$D:$AM, 10, FALSE), 1)</f>
        <v>7.221887824396386E-3</v>
      </c>
      <c r="T8" s="7">
        <f>$B8 * IFERROR(VLOOKUP("electricity|PM25|Asthma symptoms wheeze", US_national_yearly!$D:$AM, 28, FALSE) / VLOOKUP("electricity|PM25|Asthma symptoms wheeze", US_national_yearly!$D:$AM, 10, FALSE), 1)</f>
        <v>7.221887824396386E-3</v>
      </c>
      <c r="U8" s="7">
        <f>$B8 * IFERROR(VLOOKUP("electricity|PM25|Asthma symptoms wheeze", US_national_yearly!$D:$AM, 29, FALSE) / VLOOKUP("electricity|PM25|Asthma symptoms wheeze", US_national_yearly!$D:$AM, 10, FALSE), 1)</f>
        <v>7.221887824396386E-3</v>
      </c>
      <c r="V8" s="7">
        <f>$B8 * IFERROR(VLOOKUP("electricity|PM25|Asthma symptoms wheeze", US_national_yearly!$D:$AM, 30, FALSE) / VLOOKUP("electricity|PM25|Asthma symptoms wheeze", US_national_yearly!$D:$AM, 10, FALSE), 1)</f>
        <v>7.221887824396386E-3</v>
      </c>
      <c r="W8" s="7">
        <f>$B8 * IFERROR(VLOOKUP("electricity|PM25|Asthma symptoms wheeze", US_national_yearly!$D:$AM, 31, FALSE) / VLOOKUP("electricity|PM25|Asthma symptoms wheeze", US_national_yearly!$D:$AM, 10, FALSE), 1)</f>
        <v>7.221887824396386E-3</v>
      </c>
      <c r="X8" s="7">
        <f>$B8 * IFERROR(VLOOKUP("electricity|PM25|Asthma symptoms wheeze", US_national_yearly!$D:$AM, 32, FALSE) / VLOOKUP("electricity|PM25|Asthma symptoms wheeze", US_national_yearly!$D:$AM, 10, FALSE), 1)</f>
        <v>7.221887824396386E-3</v>
      </c>
      <c r="Y8" s="7">
        <f>$B8 * IFERROR(VLOOKUP("electricity|PM25|Asthma symptoms wheeze", US_national_yearly!$D:$AM, 33, FALSE) / VLOOKUP("electricity|PM25|Asthma symptoms wheeze", US_national_yearly!$D:$AM, 10, FALSE), 1)</f>
        <v>7.221887824396386E-3</v>
      </c>
      <c r="Z8" s="7">
        <f>$B8 * IFERROR(VLOOKUP("electricity|PM25|Asthma symptoms wheeze", US_national_yearly!$D:$AM, 34, FALSE) / VLOOKUP("electricity|PM25|Asthma symptoms wheeze", US_national_yearly!$D:$AM, 10, FALSE), 1)</f>
        <v>7.221887824396386E-3</v>
      </c>
      <c r="AA8" s="7">
        <f>$B8 * IFERROR(VLOOKUP("electricity|PM25|Asthma symptoms wheeze", US_national_yearly!$D:$AM, 35, FALSE) / VLOOKUP("electricity|PM25|Asthma symptoms wheeze", US_national_yearly!$D:$AM, 10, FALSE), 1)</f>
        <v>7.221887824396386E-3</v>
      </c>
      <c r="AB8" s="7">
        <f>$B8 * IFERROR(VLOOKUP("electricity|PM25|Asthma symptoms wheeze", US_national_yearly!$D:$AM, 36, FALSE) / VLOOKUP("electricity|PM25|Asthma symptoms wheeze", US_national_yearly!$D:$AM, 10, FALSE), 1)</f>
        <v>7.221887824396386E-3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9.7039797599982795E-5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9.7573116513817226E-5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9.8106435427651643E-5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9.8639754341486101E-5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9.9173073255320518E-5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9.9744778021588031E-5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1.0031648278785556E-4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1.0082724259177366E-4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1.0133800239569174E-4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1.0184876219960981E-4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1.023595220035279E-4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1.02870281807446E-4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1.0321480743192708E-4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1.0355933305640819E-4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1.039038586808893E-4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1.042483843053704E-4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1.0459290992985151E-4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1.0491395962932376E-4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1.0523500932879597E-4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1.055560590282682E-4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1.0587710872774042E-4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1.0619815842721263E-4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1.0651561544073038E-4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1.0683307245424811E-4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1.0715052946776584E-4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1.0746798648128358E-4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1.0778544349480132E-4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4.0646278585291325E-4</v>
      </c>
      <c r="C13" s="7">
        <f>$B13 * IFERROR(VLOOKUP("electricity|PM25|Non-fatal heart attacks", US_national_yearly!$D:$AM, 11, FALSE) / VLOOKUP("electricity|PM25|Non-fatal heart attacks", US_national_yearly!$D:$AM, 10, FALSE), 1)</f>
        <v>4.1823590802259324E-4</v>
      </c>
      <c r="D13" s="7">
        <f>$B13 * IFERROR(VLOOKUP("electricity|PM25|Non-fatal heart attacks", US_national_yearly!$D:$AM, 12, FALSE) / VLOOKUP("electricity|PM25|Non-fatal heart attacks", US_national_yearly!$D:$AM, 10, FALSE), 1)</f>
        <v>4.3000903019227324E-4</v>
      </c>
      <c r="E13" s="7">
        <f>$B13 * IFERROR(VLOOKUP("electricity|PM25|Non-fatal heart attacks", US_national_yearly!$D:$AM, 13, FALSE) / VLOOKUP("electricity|PM25|Non-fatal heart attacks", US_national_yearly!$D:$AM, 10, FALSE), 1)</f>
        <v>4.4178215236195313E-4</v>
      </c>
      <c r="F13" s="7">
        <f>$B13 * IFERROR(VLOOKUP("electricity|PM25|Non-fatal heart attacks", US_national_yearly!$D:$AM, 14, FALSE) / VLOOKUP("electricity|PM25|Non-fatal heart attacks", US_national_yearly!$D:$AM, 10, FALSE), 1)</f>
        <v>4.5355527453163318E-4</v>
      </c>
      <c r="G13" s="7">
        <f>$B13 * IFERROR(VLOOKUP("electricity|PM25|Non-fatal heart attacks", US_national_yearly!$D:$AM, 15, FALSE) / VLOOKUP("electricity|PM25|Non-fatal heart attacks", US_national_yearly!$D:$AM, 10, FALSE), 1)</f>
        <v>4.6472993353291876E-4</v>
      </c>
      <c r="H13" s="7">
        <f>$B13 * IFERROR(VLOOKUP("electricity|PM25|Non-fatal heart attacks", US_national_yearly!$D:$AM, 16, FALSE) / VLOOKUP("electricity|PM25|Non-fatal heart attacks", US_national_yearly!$D:$AM, 10, FALSE), 1)</f>
        <v>4.7590459253420424E-4</v>
      </c>
      <c r="I13" s="7">
        <f>$B13 * IFERROR(VLOOKUP("electricity|PM25|Non-fatal heart attacks", US_national_yearly!$D:$AM, 17, FALSE) / VLOOKUP("electricity|PM25|Non-fatal heart attacks", US_national_yearly!$D:$AM, 10, FALSE), 1)</f>
        <v>4.850217950482805E-4</v>
      </c>
      <c r="J13" s="7">
        <f>$B13 * IFERROR(VLOOKUP("electricity|PM25|Non-fatal heart attacks", US_national_yearly!$D:$AM, 18, FALSE) / VLOOKUP("electricity|PM25|Non-fatal heart attacks", US_national_yearly!$D:$AM, 10, FALSE), 1)</f>
        <v>4.941389975623567E-4</v>
      </c>
      <c r="K13" s="7">
        <f>$B13 * IFERROR(VLOOKUP("electricity|PM25|Non-fatal heart attacks", US_national_yearly!$D:$AM, 19, FALSE) / VLOOKUP("electricity|PM25|Non-fatal heart attacks", US_national_yearly!$D:$AM, 10, FALSE), 1)</f>
        <v>5.0325620007643285E-4</v>
      </c>
      <c r="L13" s="7">
        <f>$B13 * IFERROR(VLOOKUP("electricity|PM25|Non-fatal heart attacks", US_national_yearly!$D:$AM, 20, FALSE) / VLOOKUP("electricity|PM25|Non-fatal heart attacks", US_national_yearly!$D:$AM, 10, FALSE), 1)</f>
        <v>5.123734025905091E-4</v>
      </c>
      <c r="M13" s="7">
        <f>$B13 * IFERROR(VLOOKUP("electricity|PM25|Non-fatal heart attacks", US_national_yearly!$D:$AM, 21, FALSE) / VLOOKUP("electricity|PM25|Non-fatal heart attacks", US_national_yearly!$D:$AM, 10, FALSE), 1)</f>
        <v>5.2149060510458536E-4</v>
      </c>
      <c r="N13" s="7">
        <f>$B13 * IFERROR(VLOOKUP("electricity|PM25|Non-fatal heart attacks", US_national_yearly!$D:$AM, 22, FALSE) / VLOOKUP("electricity|PM25|Non-fatal heart attacks", US_national_yearly!$D:$AM, 10, FALSE), 1)</f>
        <v>5.2740649257071177E-4</v>
      </c>
      <c r="O13" s="7">
        <f>$B13 * IFERROR(VLOOKUP("electricity|PM25|Non-fatal heart attacks", US_national_yearly!$D:$AM, 23, FALSE) / VLOOKUP("electricity|PM25|Non-fatal heart attacks", US_national_yearly!$D:$AM, 10, FALSE), 1)</f>
        <v>5.3332238003683829E-4</v>
      </c>
      <c r="P13" s="7">
        <f>$B13 * IFERROR(VLOOKUP("electricity|PM25|Non-fatal heart attacks", US_national_yearly!$D:$AM, 24, FALSE) / VLOOKUP("electricity|PM25|Non-fatal heart attacks", US_national_yearly!$D:$AM, 10, FALSE), 1)</f>
        <v>5.3923826750296459E-4</v>
      </c>
      <c r="Q13" s="7">
        <f>$B13 * IFERROR(VLOOKUP("electricity|PM25|Non-fatal heart attacks", US_national_yearly!$D:$AM, 25, FALSE) / VLOOKUP("electricity|PM25|Non-fatal heart attacks", US_national_yearly!$D:$AM, 10, FALSE), 1)</f>
        <v>5.45154154969091E-4</v>
      </c>
      <c r="R13" s="7">
        <f>$B13 * IFERROR(VLOOKUP("electricity|PM25|Non-fatal heart attacks", US_national_yearly!$D:$AM, 26, FALSE) / VLOOKUP("electricity|PM25|Non-fatal heart attacks", US_national_yearly!$D:$AM, 10, FALSE), 1)</f>
        <v>5.5107004243521742E-4</v>
      </c>
      <c r="S13" s="7">
        <f>$B13 * IFERROR(VLOOKUP("electricity|PM25|Non-fatal heart attacks", US_national_yearly!$D:$AM, 27, FALSE) / VLOOKUP("electricity|PM25|Non-fatal heart attacks", US_national_yearly!$D:$AM, 10, FALSE), 1)</f>
        <v>5.5432689046565711E-4</v>
      </c>
      <c r="T13" s="7">
        <f>$B13 * IFERROR(VLOOKUP("electricity|PM25|Non-fatal heart attacks", US_national_yearly!$D:$AM, 28, FALSE) / VLOOKUP("electricity|PM25|Non-fatal heart attacks", US_national_yearly!$D:$AM, 10, FALSE), 1)</f>
        <v>5.5758373849609691E-4</v>
      </c>
      <c r="U13" s="7">
        <f>$B13 * IFERROR(VLOOKUP("electricity|PM25|Non-fatal heart attacks", US_national_yearly!$D:$AM, 29, FALSE) / VLOOKUP("electricity|PM25|Non-fatal heart attacks", US_national_yearly!$D:$AM, 10, FALSE), 1)</f>
        <v>5.608405865265366E-4</v>
      </c>
      <c r="V13" s="7">
        <f>$B13 * IFERROR(VLOOKUP("electricity|PM25|Non-fatal heart attacks", US_national_yearly!$D:$AM, 30, FALSE) / VLOOKUP("electricity|PM25|Non-fatal heart attacks", US_national_yearly!$D:$AM, 10, FALSE), 1)</f>
        <v>5.6409743455697629E-4</v>
      </c>
      <c r="W13" s="7">
        <f>$B13 * IFERROR(VLOOKUP("electricity|PM25|Non-fatal heart attacks", US_national_yearly!$D:$AM, 31, FALSE) / VLOOKUP("electricity|PM25|Non-fatal heart attacks", US_national_yearly!$D:$AM, 10, FALSE), 1)</f>
        <v>5.6735428258741598E-4</v>
      </c>
      <c r="X13" s="7">
        <f>$B13 * IFERROR(VLOOKUP("electricity|PM25|Non-fatal heart attacks", US_national_yearly!$D:$AM, 32, FALSE) / VLOOKUP("electricity|PM25|Non-fatal heart attacks", US_national_yearly!$D:$AM, 10, FALSE), 1)</f>
        <v>5.6990216621285214E-4</v>
      </c>
      <c r="Y13" s="7">
        <f>$B13 * IFERROR(VLOOKUP("electricity|PM25|Non-fatal heart attacks", US_national_yearly!$D:$AM, 33, FALSE) / VLOOKUP("electricity|PM25|Non-fatal heart attacks", US_national_yearly!$D:$AM, 10, FALSE), 1)</f>
        <v>5.724500498382884E-4</v>
      </c>
      <c r="Z13" s="7">
        <f>$B13 * IFERROR(VLOOKUP("electricity|PM25|Non-fatal heart attacks", US_national_yearly!$D:$AM, 34, FALSE) / VLOOKUP("electricity|PM25|Non-fatal heart attacks", US_national_yearly!$D:$AM, 10, FALSE), 1)</f>
        <v>5.7499793346372455E-4</v>
      </c>
      <c r="AA13" s="7">
        <f>$B13 * IFERROR(VLOOKUP("electricity|PM25|Non-fatal heart attacks", US_national_yearly!$D:$AM, 35, FALSE) / VLOOKUP("electricity|PM25|Non-fatal heart attacks", US_national_yearly!$D:$AM, 10, FALSE), 1)</f>
        <v>5.7754581708916093E-4</v>
      </c>
      <c r="AB13" s="7">
        <f>$B13 * IFERROR(VLOOKUP("electricity|PM25|Non-fatal heart attacks", US_national_yearly!$D:$AM, 36, FALSE) / VLOOKUP("electricity|PM25|Non-fatal heart attacks", US_national_yearly!$D:$AM, 10, FALSE), 1)</f>
        <v>5.8009370071459708E-4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0.38985867504089161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0.39072413509411669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0.39158959514734187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0.39245505520056695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0.39332051525379208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0.39460475768859321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0.39588900012339434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0.3981566225602518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0.40042424499710932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0.40269186743396679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0.40495948987082431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0.40722711230768177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0.41037295861880896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0.41351880492993626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0.4166646512410635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0.4198104975521908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0.42295634386331799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0.42612932469401194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0.42930230552470577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0.43247528635539961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0.43564826718609356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0.4388212480167874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0.44154115488503443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0.44426106175328145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0.44698096862152853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0.44970087548977544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0.45242078235802258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6.6069856702420424E-2</v>
      </c>
      <c r="C15" s="7">
        <f>$B15 * IFERROR(VLOOKUP("electricity|PM25|Work loss days", US_national_yearly!$D:$AM, 11, FALSE) / VLOOKUP("electricity|PM25|Work loss days", US_national_yearly!$D:$AM, 10, FALSE), 1)</f>
        <v>6.6258919416534445E-2</v>
      </c>
      <c r="D15" s="7">
        <f>$B15 * IFERROR(VLOOKUP("electricity|PM25|Work loss days", US_national_yearly!$D:$AM, 12, FALSE) / VLOOKUP("electricity|PM25|Work loss days", US_national_yearly!$D:$AM, 10, FALSE), 1)</f>
        <v>6.6447982130648467E-2</v>
      </c>
      <c r="E15" s="7">
        <f>$B15 * IFERROR(VLOOKUP("electricity|PM25|Work loss days", US_national_yearly!$D:$AM, 13, FALSE) / VLOOKUP("electricity|PM25|Work loss days", US_national_yearly!$D:$AM, 10, FALSE), 1)</f>
        <v>6.6637044844762489E-2</v>
      </c>
      <c r="F15" s="7">
        <f>$B15 * IFERROR(VLOOKUP("electricity|PM25|Work loss days", US_national_yearly!$D:$AM, 14, FALSE) / VLOOKUP("electricity|PM25|Work loss days", US_national_yearly!$D:$AM, 10, FALSE), 1)</f>
        <v>6.6826107558876496E-2</v>
      </c>
      <c r="G15" s="7">
        <f>$B15 * IFERROR(VLOOKUP("electricity|PM25|Work loss days", US_national_yearly!$D:$AM, 15, FALSE) / VLOOKUP("electricity|PM25|Work loss days", US_national_yearly!$D:$AM, 10, FALSE), 1)</f>
        <v>6.7071028599505894E-2</v>
      </c>
      <c r="H15" s="7">
        <f>$B15 * IFERROR(VLOOKUP("electricity|PM25|Work loss days", US_national_yearly!$D:$AM, 16, FALSE) / VLOOKUP("electricity|PM25|Work loss days", US_national_yearly!$D:$AM, 10, FALSE), 1)</f>
        <v>6.7315949640135306E-2</v>
      </c>
      <c r="I15" s="7">
        <f>$B15 * IFERROR(VLOOKUP("electricity|PM25|Work loss days", US_national_yearly!$D:$AM, 17, FALSE) / VLOOKUP("electricity|PM25|Work loss days", US_national_yearly!$D:$AM, 10, FALSE), 1)</f>
        <v>6.7684146602219539E-2</v>
      </c>
      <c r="J15" s="7">
        <f>$B15 * IFERROR(VLOOKUP("electricity|PM25|Work loss days", US_national_yearly!$D:$AM, 18, FALSE) / VLOOKUP("electricity|PM25|Work loss days", US_national_yearly!$D:$AM, 10, FALSE), 1)</f>
        <v>6.8052343564303744E-2</v>
      </c>
      <c r="K15" s="7">
        <f>$B15 * IFERROR(VLOOKUP("electricity|PM25|Work loss days", US_national_yearly!$D:$AM, 19, FALSE) / VLOOKUP("electricity|PM25|Work loss days", US_national_yearly!$D:$AM, 10, FALSE), 1)</f>
        <v>6.8420540526387963E-2</v>
      </c>
      <c r="L15" s="7">
        <f>$B15 * IFERROR(VLOOKUP("electricity|PM25|Work loss days", US_national_yearly!$D:$AM, 20, FALSE) / VLOOKUP("electricity|PM25|Work loss days", US_national_yearly!$D:$AM, 10, FALSE), 1)</f>
        <v>6.8788737488472182E-2</v>
      </c>
      <c r="M15" s="7">
        <f>$B15 * IFERROR(VLOOKUP("electricity|PM25|Work loss days", US_national_yearly!$D:$AM, 21, FALSE) / VLOOKUP("electricity|PM25|Work loss days", US_national_yearly!$D:$AM, 10, FALSE), 1)</f>
        <v>6.9156934450556415E-2</v>
      </c>
      <c r="N15" s="7">
        <f>$B15 * IFERROR(VLOOKUP("electricity|PM25|Work loss days", US_national_yearly!$D:$AM, 22, FALSE) / VLOOKUP("electricity|PM25|Work loss days", US_national_yearly!$D:$AM, 10, FALSE), 1)</f>
        <v>6.9632302289751827E-2</v>
      </c>
      <c r="O15" s="7">
        <f>$B15 * IFERROR(VLOOKUP("electricity|PM25|Work loss days", US_national_yearly!$D:$AM, 23, FALSE) / VLOOKUP("electricity|PM25|Work loss days", US_national_yearly!$D:$AM, 10, FALSE), 1)</f>
        <v>7.0107670128947225E-2</v>
      </c>
      <c r="P15" s="7">
        <f>$B15 * IFERROR(VLOOKUP("electricity|PM25|Work loss days", US_national_yearly!$D:$AM, 24, FALSE) / VLOOKUP("electricity|PM25|Work loss days", US_national_yearly!$D:$AM, 10, FALSE), 1)</f>
        <v>7.0583037968142623E-2</v>
      </c>
      <c r="Q15" s="7">
        <f>$B15 * IFERROR(VLOOKUP("electricity|PM25|Work loss days", US_national_yearly!$D:$AM, 25, FALSE) / VLOOKUP("electricity|PM25|Work loss days", US_national_yearly!$D:$AM, 10, FALSE), 1)</f>
        <v>7.1058405807338021E-2</v>
      </c>
      <c r="R15" s="7">
        <f>$B15 * IFERROR(VLOOKUP("electricity|PM25|Work loss days", US_national_yearly!$D:$AM, 26, FALSE) / VLOOKUP("electricity|PM25|Work loss days", US_national_yearly!$D:$AM, 10, FALSE), 1)</f>
        <v>7.1533773646533433E-2</v>
      </c>
      <c r="S15" s="7">
        <f>$B15 * IFERROR(VLOOKUP("electricity|PM25|Work loss days", US_national_yearly!$D:$AM, 27, FALSE) / VLOOKUP("electricity|PM25|Work loss days", US_national_yearly!$D:$AM, 10, FALSE), 1)</f>
        <v>7.2061264088504828E-2</v>
      </c>
      <c r="T15" s="7">
        <f>$B15 * IFERROR(VLOOKUP("electricity|PM25|Work loss days", US_national_yearly!$D:$AM, 28, FALSE) / VLOOKUP("electricity|PM25|Work loss days", US_national_yearly!$D:$AM, 10, FALSE), 1)</f>
        <v>7.2588754530476252E-2</v>
      </c>
      <c r="U15" s="7">
        <f>$B15 * IFERROR(VLOOKUP("electricity|PM25|Work loss days", US_national_yearly!$D:$AM, 29, FALSE) / VLOOKUP("electricity|PM25|Work loss days", US_national_yearly!$D:$AM, 10, FALSE), 1)</f>
        <v>7.3116244972447661E-2</v>
      </c>
      <c r="V15" s="7">
        <f>$B15 * IFERROR(VLOOKUP("electricity|PM25|Work loss days", US_national_yearly!$D:$AM, 30, FALSE) / VLOOKUP("electricity|PM25|Work loss days", US_national_yearly!$D:$AM, 10, FALSE), 1)</f>
        <v>7.3643735414419084E-2</v>
      </c>
      <c r="W15" s="7">
        <f>$B15 * IFERROR(VLOOKUP("electricity|PM25|Work loss days", US_national_yearly!$D:$AM, 31, FALSE) / VLOOKUP("electricity|PM25|Work loss days", US_national_yearly!$D:$AM, 10, FALSE), 1)</f>
        <v>7.417122585639048E-2</v>
      </c>
      <c r="X15" s="7">
        <f>$B15 * IFERROR(VLOOKUP("electricity|PM25|Work loss days", US_national_yearly!$D:$AM, 32, FALSE) / VLOOKUP("electricity|PM25|Work loss days", US_national_yearly!$D:$AM, 10, FALSE), 1)</f>
        <v>7.463655897973101E-2</v>
      </c>
      <c r="Y15" s="7">
        <f>$B15 * IFERROR(VLOOKUP("electricity|PM25|Work loss days", US_national_yearly!$D:$AM, 33, FALSE) / VLOOKUP("electricity|PM25|Work loss days", US_national_yearly!$D:$AM, 10, FALSE), 1)</f>
        <v>7.5101892103071513E-2</v>
      </c>
      <c r="Z15" s="7">
        <f>$B15 * IFERROR(VLOOKUP("electricity|PM25|Work loss days", US_national_yearly!$D:$AM, 34, FALSE) / VLOOKUP("electricity|PM25|Work loss days", US_national_yearly!$D:$AM, 10, FALSE), 1)</f>
        <v>7.556722522641203E-2</v>
      </c>
      <c r="AA15" s="7">
        <f>$B15 * IFERROR(VLOOKUP("electricity|PM25|Work loss days", US_national_yearly!$D:$AM, 35, FALSE) / VLOOKUP("electricity|PM25|Work loss days", US_national_yearly!$D:$AM, 10, FALSE), 1)</f>
        <v>7.603255834975256E-2</v>
      </c>
      <c r="AB15" s="7">
        <f>$B15 * IFERROR(VLOOKUP("electricity|PM25|Work loss days", US_national_yearly!$D:$AM, 36, FALSE) / VLOOKUP("electricity|PM25|Work loss days", US_national_yearly!$D:$AM, 10, FALSE), 1)</f>
        <v>7.6497891473093063E-2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1.1732815198751501E-4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1.2080985424035333E-4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1.2429155649319165E-4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1.2777325874602994E-4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1.3125496099886827E-4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1.3461305742024519E-4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1.3797115384162211E-4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1.4088020384965869E-4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1.4378925385769524E-4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1.4669830386573177E-4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1.4960735387376832E-4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1.5251640388180485E-4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1.5447193397465011E-4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1.5642746406749537E-4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1.5838299416034063E-4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1.6033852425318589E-4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1.6229405434603115E-4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1.6337331401454784E-4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1.6445257368306448E-4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1.6553183335158117E-4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1.6661109302009783E-4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1.6769035268861449E-4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1.6844330268112539E-4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1.6919625267363623E-4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1.6994920266614712E-4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1.7070215265865802E-4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1.7145510265116891E-4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1.3913308024139141E-5</v>
      </c>
      <c r="C2" s="7">
        <f>$B2 * IFERROR(VLOOKUP("electricity|NOx|Premature mortality", US_national_yearly!$D:$AM, 11, FALSE) / VLOOKUP("electricity|NOx|Premature mortality", US_national_yearly!$D:$AM, 10, FALSE), 1)</f>
        <v>1.4123825191512034E-5</v>
      </c>
      <c r="D2" s="7">
        <f>$B2 * IFERROR(VLOOKUP("electricity|NOx|Premature mortality", US_national_yearly!$D:$AM, 12, FALSE) / VLOOKUP("electricity|NOx|Premature mortality", US_national_yearly!$D:$AM, 10, FALSE), 1)</f>
        <v>1.433434235888493E-5</v>
      </c>
      <c r="E2" s="7">
        <f>$B2 * IFERROR(VLOOKUP("electricity|NOx|Premature mortality", US_national_yearly!$D:$AM, 13, FALSE) / VLOOKUP("electricity|NOx|Premature mortality", US_national_yearly!$D:$AM, 10, FALSE), 1)</f>
        <v>1.4544859526257824E-5</v>
      </c>
      <c r="F2" s="7">
        <f>$B2 * IFERROR(VLOOKUP("electricity|NOx|Premature mortality", US_national_yearly!$D:$AM, 14, FALSE) / VLOOKUP("electricity|NOx|Premature mortality", US_national_yearly!$D:$AM, 10, FALSE), 1)</f>
        <v>1.4755376693630717E-5</v>
      </c>
      <c r="G2" s="7">
        <f>$B2 * IFERROR(VLOOKUP("electricity|NOx|Premature mortality", US_national_yearly!$D:$AM, 15, FALSE) / VLOOKUP("electricity|NOx|Premature mortality", US_national_yearly!$D:$AM, 10, FALSE), 1)</f>
        <v>1.5131437886228646E-5</v>
      </c>
      <c r="H2" s="7">
        <f>$B2 * IFERROR(VLOOKUP("electricity|NOx|Premature mortality", US_national_yearly!$D:$AM, 16, FALSE) / VLOOKUP("electricity|NOx|Premature mortality", US_national_yearly!$D:$AM, 10, FALSE), 1)</f>
        <v>1.5507499078826574E-5</v>
      </c>
      <c r="I2" s="7">
        <f>$B2 * IFERROR(VLOOKUP("electricity|NOx|Premature mortality", US_national_yearly!$D:$AM, 17, FALSE) / VLOOKUP("electricity|NOx|Premature mortality", US_national_yearly!$D:$AM, 10, FALSE), 1)</f>
        <v>1.5757407187947082E-5</v>
      </c>
      <c r="J2" s="7">
        <f>$B2 * IFERROR(VLOOKUP("electricity|NOx|Premature mortality", US_national_yearly!$D:$AM, 18, FALSE) / VLOOKUP("electricity|NOx|Premature mortality", US_national_yearly!$D:$AM, 10, FALSE), 1)</f>
        <v>1.6007315297067593E-5</v>
      </c>
      <c r="K2" s="7">
        <f>$B2 * IFERROR(VLOOKUP("electricity|NOx|Premature mortality", US_national_yearly!$D:$AM, 19, FALSE) / VLOOKUP("electricity|NOx|Premature mortality", US_national_yearly!$D:$AM, 10, FALSE), 1)</f>
        <v>1.6257223406188101E-5</v>
      </c>
      <c r="L2" s="7">
        <f>$B2 * IFERROR(VLOOKUP("electricity|NOx|Premature mortality", US_national_yearly!$D:$AM, 20, FALSE) / VLOOKUP("electricity|NOx|Premature mortality", US_national_yearly!$D:$AM, 10, FALSE), 1)</f>
        <v>1.6507131515308609E-5</v>
      </c>
      <c r="M2" s="7">
        <f>$B2 * IFERROR(VLOOKUP("electricity|NOx|Premature mortality", US_national_yearly!$D:$AM, 21, FALSE) / VLOOKUP("electricity|NOx|Premature mortality", US_national_yearly!$D:$AM, 10, FALSE), 1)</f>
        <v>1.6757039624429117E-5</v>
      </c>
      <c r="N2" s="7">
        <f>$B2 * IFERROR(VLOOKUP("electricity|NOx|Premature mortality", US_national_yearly!$D:$AM, 22, FALSE) / VLOOKUP("electricity|NOx|Premature mortality", US_national_yearly!$D:$AM, 10, FALSE), 1)</f>
        <v>1.694987262121404E-5</v>
      </c>
      <c r="O2" s="7">
        <f>$B2 * IFERROR(VLOOKUP("electricity|NOx|Premature mortality", US_national_yearly!$D:$AM, 23, FALSE) / VLOOKUP("electricity|NOx|Premature mortality", US_national_yearly!$D:$AM, 10, FALSE), 1)</f>
        <v>1.714270561799897E-5</v>
      </c>
      <c r="P2" s="7">
        <f>$B2 * IFERROR(VLOOKUP("electricity|NOx|Premature mortality", US_national_yearly!$D:$AM, 24, FALSE) / VLOOKUP("electricity|NOx|Premature mortality", US_national_yearly!$D:$AM, 10, FALSE), 1)</f>
        <v>1.7335538614783897E-5</v>
      </c>
      <c r="Q2" s="7">
        <f>$B2 * IFERROR(VLOOKUP("electricity|NOx|Premature mortality", US_national_yearly!$D:$AM, 25, FALSE) / VLOOKUP("electricity|NOx|Premature mortality", US_national_yearly!$D:$AM, 10, FALSE), 1)</f>
        <v>1.7528371611568823E-5</v>
      </c>
      <c r="R2" s="7">
        <f>$B2 * IFERROR(VLOOKUP("electricity|NOx|Premature mortality", US_national_yearly!$D:$AM, 26, FALSE) / VLOOKUP("electricity|NOx|Premature mortality", US_national_yearly!$D:$AM, 10, FALSE), 1)</f>
        <v>1.7721204608353747E-5</v>
      </c>
      <c r="S2" s="7">
        <f>$B2 * IFERROR(VLOOKUP("electricity|NOx|Premature mortality", US_national_yearly!$D:$AM, 27, FALSE) / VLOOKUP("electricity|NOx|Premature mortality", US_national_yearly!$D:$AM, 10, FALSE), 1)</f>
        <v>1.7820849491846108E-5</v>
      </c>
      <c r="T2" s="7">
        <f>$B2 * IFERROR(VLOOKUP("electricity|NOx|Premature mortality", US_national_yearly!$D:$AM, 28, FALSE) / VLOOKUP("electricity|NOx|Premature mortality", US_national_yearly!$D:$AM, 10, FALSE), 1)</f>
        <v>1.7920494375338469E-5</v>
      </c>
      <c r="U2" s="7">
        <f>$B2 * IFERROR(VLOOKUP("electricity|NOx|Premature mortality", US_national_yearly!$D:$AM, 29, FALSE) / VLOOKUP("electricity|NOx|Premature mortality", US_national_yearly!$D:$AM, 10, FALSE), 1)</f>
        <v>1.8020139258830836E-5</v>
      </c>
      <c r="V2" s="7">
        <f>$B2 * IFERROR(VLOOKUP("electricity|NOx|Premature mortality", US_national_yearly!$D:$AM, 30, FALSE) / VLOOKUP("electricity|NOx|Premature mortality", US_national_yearly!$D:$AM, 10, FALSE), 1)</f>
        <v>1.8119784142323197E-5</v>
      </c>
      <c r="W2" s="7">
        <f>$B2 * IFERROR(VLOOKUP("electricity|NOx|Premature mortality", US_national_yearly!$D:$AM, 31, FALSE) / VLOOKUP("electricity|NOx|Premature mortality", US_national_yearly!$D:$AM, 10, FALSE), 1)</f>
        <v>1.8219429025815558E-5</v>
      </c>
      <c r="X2" s="7">
        <f>$B2 * IFERROR(VLOOKUP("electricity|NOx|Premature mortality", US_national_yearly!$D:$AM, 32, FALSE) / VLOOKUP("electricity|NOx|Premature mortality", US_national_yearly!$D:$AM, 10, FALSE), 1)</f>
        <v>1.824197179405517E-5</v>
      </c>
      <c r="Y2" s="7">
        <f>$B2 * IFERROR(VLOOKUP("electricity|NOx|Premature mortality", US_national_yearly!$D:$AM, 33, FALSE) / VLOOKUP("electricity|NOx|Premature mortality", US_national_yearly!$D:$AM, 10, FALSE), 1)</f>
        <v>1.8264514562294778E-5</v>
      </c>
      <c r="Z2" s="7">
        <f>$B2 * IFERROR(VLOOKUP("electricity|NOx|Premature mortality", US_national_yearly!$D:$AM, 34, FALSE) / VLOOKUP("electricity|NOx|Premature mortality", US_national_yearly!$D:$AM, 10, FALSE), 1)</f>
        <v>1.8287057330534389E-5</v>
      </c>
      <c r="AA2" s="7">
        <f>$B2 * IFERROR(VLOOKUP("electricity|NOx|Premature mortality", US_national_yearly!$D:$AM, 35, FALSE) / VLOOKUP("electricity|NOx|Premature mortality", US_national_yearly!$D:$AM, 10, FALSE), 1)</f>
        <v>1.8309600098773998E-5</v>
      </c>
      <c r="AB2" s="7">
        <f>$B2 * IFERROR(VLOOKUP("electricity|NOx|Premature mortality", US_national_yearly!$D:$AM, 36, FALSE) / VLOOKUP("electricity|NOx|Premature mortality", US_national_yearly!$D:$AM, 10, FALSE), 1)</f>
        <v>1.8332142867013606E-5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4.1624861294475004E-8</v>
      </c>
      <c r="C3" s="7">
        <f>$B3 * IFERROR(VLOOKUP("electricity|NOx|Infant mortality", US_national_yearly!$D:$AM, 11, FALSE) / VLOOKUP("electricity|NOx|Infant mortality", US_national_yearly!$D:$AM, 10, FALSE), 1)</f>
        <v>4.1235436934638069E-8</v>
      </c>
      <c r="D3" s="7">
        <f>$B3 * IFERROR(VLOOKUP("electricity|NOx|Infant mortality", US_national_yearly!$D:$AM, 12, FALSE) / VLOOKUP("electricity|NOx|Infant mortality", US_national_yearly!$D:$AM, 10, FALSE), 1)</f>
        <v>4.0846012574801128E-8</v>
      </c>
      <c r="E3" s="7">
        <f>$B3 * IFERROR(VLOOKUP("electricity|NOx|Infant mortality", US_national_yearly!$D:$AM, 13, FALSE) / VLOOKUP("electricity|NOx|Infant mortality", US_national_yearly!$D:$AM, 10, FALSE), 1)</f>
        <v>4.0456588214964201E-8</v>
      </c>
      <c r="F3" s="7">
        <f>$B3 * IFERROR(VLOOKUP("electricity|NOx|Infant mortality", US_national_yearly!$D:$AM, 14, FALSE) / VLOOKUP("electricity|NOx|Infant mortality", US_national_yearly!$D:$AM, 10, FALSE), 1)</f>
        <v>4.006716385512726E-8</v>
      </c>
      <c r="G3" s="7">
        <f>$B3 * IFERROR(VLOOKUP("electricity|NOx|Infant mortality", US_national_yearly!$D:$AM, 15, FALSE) / VLOOKUP("electricity|NOx|Infant mortality", US_national_yearly!$D:$AM, 10, FALSE), 1)</f>
        <v>2.6546481126147193E-8</v>
      </c>
      <c r="H3" s="7">
        <f>$B3 * IFERROR(VLOOKUP("electricity|NOx|Infant mortality", US_national_yearly!$D:$AM, 16, FALSE) / VLOOKUP("electricity|NOx|Infant mortality", US_national_yearly!$D:$AM, 10, FALSE), 1)</f>
        <v>1.3025798397167134E-8</v>
      </c>
      <c r="I3" s="7">
        <f>$B3 * IFERROR(VLOOKUP("electricity|NOx|Infant mortality", US_national_yearly!$D:$AM, 17, FALSE) / VLOOKUP("electricity|NOx|Infant mortality", US_national_yearly!$D:$AM, 10, FALSE), 1)</f>
        <v>1.2931067673168731E-8</v>
      </c>
      <c r="J3" s="7">
        <f>$B3 * IFERROR(VLOOKUP("electricity|NOx|Infant mortality", US_national_yearly!$D:$AM, 18, FALSE) / VLOOKUP("electricity|NOx|Infant mortality", US_national_yearly!$D:$AM, 10, FALSE), 1)</f>
        <v>1.2836336949170329E-8</v>
      </c>
      <c r="K3" s="7">
        <f>$B3 * IFERROR(VLOOKUP("electricity|NOx|Infant mortality", US_national_yearly!$D:$AM, 19, FALSE) / VLOOKUP("electricity|NOx|Infant mortality", US_national_yearly!$D:$AM, 10, FALSE), 1)</f>
        <v>1.2741606225171924E-8</v>
      </c>
      <c r="L3" s="7">
        <f>$B3 * IFERROR(VLOOKUP("electricity|NOx|Infant mortality", US_national_yearly!$D:$AM, 20, FALSE) / VLOOKUP("electricity|NOx|Infant mortality", US_national_yearly!$D:$AM, 10, FALSE), 1)</f>
        <v>1.2646875501173522E-8</v>
      </c>
      <c r="M3" s="7">
        <f>$B3 * IFERROR(VLOOKUP("electricity|NOx|Infant mortality", US_national_yearly!$D:$AM, 21, FALSE) / VLOOKUP("electricity|NOx|Infant mortality", US_national_yearly!$D:$AM, 10, FALSE), 1)</f>
        <v>1.2552144777175116E-8</v>
      </c>
      <c r="N3" s="7">
        <f>$B3 * IFERROR(VLOOKUP("electricity|NOx|Infant mortality", US_national_yearly!$D:$AM, 22, FALSE) / VLOOKUP("electricity|NOx|Infant mortality", US_national_yearly!$D:$AM, 10, FALSE), 1)</f>
        <v>1.24885324155206E-8</v>
      </c>
      <c r="O3" s="7">
        <f>$B3 * IFERROR(VLOOKUP("electricity|NOx|Infant mortality", US_national_yearly!$D:$AM, 23, FALSE) / VLOOKUP("electricity|NOx|Infant mortality", US_national_yearly!$D:$AM, 10, FALSE), 1)</f>
        <v>1.2424920053866081E-8</v>
      </c>
      <c r="P3" s="7">
        <f>$B3 * IFERROR(VLOOKUP("electricity|NOx|Infant mortality", US_national_yearly!$D:$AM, 24, FALSE) / VLOOKUP("electricity|NOx|Infant mortality", US_national_yearly!$D:$AM, 10, FALSE), 1)</f>
        <v>1.2361307692211561E-8</v>
      </c>
      <c r="Q3" s="7">
        <f>$B3 * IFERROR(VLOOKUP("electricity|NOx|Infant mortality", US_national_yearly!$D:$AM, 25, FALSE) / VLOOKUP("electricity|NOx|Infant mortality", US_national_yearly!$D:$AM, 10, FALSE), 1)</f>
        <v>1.2297695330557044E-8</v>
      </c>
      <c r="R3" s="7">
        <f>$B3 * IFERROR(VLOOKUP("electricity|NOx|Infant mortality", US_national_yearly!$D:$AM, 26, FALSE) / VLOOKUP("electricity|NOx|Infant mortality", US_national_yearly!$D:$AM, 10, FALSE), 1)</f>
        <v>1.2234082968902526E-8</v>
      </c>
      <c r="S3" s="7">
        <f>$B3 * IFERROR(VLOOKUP("electricity|NOx|Infant mortality", US_national_yearly!$D:$AM, 27, FALSE) / VLOOKUP("electricity|NOx|Infant mortality", US_national_yearly!$D:$AM, 10, FALSE), 1)</f>
        <v>1.2158564017877477E-8</v>
      </c>
      <c r="T3" s="7">
        <f>$B3 * IFERROR(VLOOKUP("electricity|NOx|Infant mortality", US_national_yearly!$D:$AM, 28, FALSE) / VLOOKUP("electricity|NOx|Infant mortality", US_national_yearly!$D:$AM, 10, FALSE), 1)</f>
        <v>1.2083045066852427E-8</v>
      </c>
      <c r="U3" s="7">
        <f>$B3 * IFERROR(VLOOKUP("electricity|NOx|Infant mortality", US_national_yearly!$D:$AM, 29, FALSE) / VLOOKUP("electricity|NOx|Infant mortality", US_national_yearly!$D:$AM, 10, FALSE), 1)</f>
        <v>1.200752611582738E-8</v>
      </c>
      <c r="V3" s="7">
        <f>$B3 * IFERROR(VLOOKUP("electricity|NOx|Infant mortality", US_national_yearly!$D:$AM, 30, FALSE) / VLOOKUP("electricity|NOx|Infant mortality", US_national_yearly!$D:$AM, 10, FALSE), 1)</f>
        <v>1.1932007164802333E-8</v>
      </c>
      <c r="W3" s="7">
        <f>$B3 * IFERROR(VLOOKUP("electricity|NOx|Infant mortality", US_national_yearly!$D:$AM, 31, FALSE) / VLOOKUP("electricity|NOx|Infant mortality", US_national_yearly!$D:$AM, 10, FALSE), 1)</f>
        <v>1.1856488213777284E-8</v>
      </c>
      <c r="X3" s="7">
        <f>$B3 * IFERROR(VLOOKUP("electricity|NOx|Infant mortality", US_national_yearly!$D:$AM, 32, FALSE) / VLOOKUP("electricity|NOx|Infant mortality", US_national_yearly!$D:$AM, 10, FALSE), 1)</f>
        <v>1.1778728285297416E-8</v>
      </c>
      <c r="Y3" s="7">
        <f>$B3 * IFERROR(VLOOKUP("electricity|NOx|Infant mortality", US_national_yearly!$D:$AM, 33, FALSE) / VLOOKUP("electricity|NOx|Infant mortality", US_national_yearly!$D:$AM, 10, FALSE), 1)</f>
        <v>1.1700968356817547E-8</v>
      </c>
      <c r="Z3" s="7">
        <f>$B3 * IFERROR(VLOOKUP("electricity|NOx|Infant mortality", US_national_yearly!$D:$AM, 34, FALSE) / VLOOKUP("electricity|NOx|Infant mortality", US_national_yearly!$D:$AM, 10, FALSE), 1)</f>
        <v>1.1623208428337677E-8</v>
      </c>
      <c r="AA3" s="7">
        <f>$B3 * IFERROR(VLOOKUP("electricity|NOx|Infant mortality", US_national_yearly!$D:$AM, 35, FALSE) / VLOOKUP("electricity|NOx|Infant mortality", US_national_yearly!$D:$AM, 10, FALSE), 1)</f>
        <v>1.1545448499857808E-8</v>
      </c>
      <c r="AB3" s="7">
        <f>$B3 * IFERROR(VLOOKUP("electricity|NOx|Infant mortality", US_national_yearly!$D:$AM, 36, FALSE) / VLOOKUP("electricity|NOx|Infant mortality", US_national_yearly!$D:$AM, 10, FALSE), 1)</f>
        <v>1.1467688571377938E-8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3.9355566991525289E-5</v>
      </c>
      <c r="C6" s="7">
        <f>$B6 * IFERROR(VLOOKUP("electricity|NOx|Asthma symptoms cough", US_national_yearly!$D:$AM, 11, FALSE) / VLOOKUP("electricity|NOx|Asthma symptoms cough", US_national_yearly!$D:$AM, 10, FALSE), 1)</f>
        <v>3.9895868981981394E-5</v>
      </c>
      <c r="D6" s="7">
        <f>$B6 * IFERROR(VLOOKUP("electricity|NOx|Asthma symptoms cough", US_national_yearly!$D:$AM, 12, FALSE) / VLOOKUP("electricity|NOx|Asthma symptoms cough", US_national_yearly!$D:$AM, 10, FALSE), 1)</f>
        <v>4.0436170972437499E-5</v>
      </c>
      <c r="E6" s="7">
        <f>$B6 * IFERROR(VLOOKUP("electricity|NOx|Asthma symptoms cough", US_national_yearly!$D:$AM, 13, FALSE) / VLOOKUP("electricity|NOx|Asthma symptoms cough", US_national_yearly!$D:$AM, 10, FALSE), 1)</f>
        <v>4.0976472962893603E-5</v>
      </c>
      <c r="F6" s="7">
        <f>$B6 * IFERROR(VLOOKUP("electricity|NOx|Asthma symptoms cough", US_national_yearly!$D:$AM, 14, FALSE) / VLOOKUP("electricity|NOx|Asthma symptoms cough", US_national_yearly!$D:$AM, 10, FALSE), 1)</f>
        <v>4.1516774953349708E-5</v>
      </c>
      <c r="G6" s="7">
        <f>$B6 * IFERROR(VLOOKUP("electricity|NOx|Asthma symptoms cough", US_national_yearly!$D:$AM, 15, FALSE) / VLOOKUP("electricity|NOx|Asthma symptoms cough", US_national_yearly!$D:$AM, 10, FALSE), 1)</f>
        <v>4.1956069119612631E-5</v>
      </c>
      <c r="H6" s="7">
        <f>$B6 * IFERROR(VLOOKUP("electricity|NOx|Asthma symptoms cough", US_national_yearly!$D:$AM, 16, FALSE) / VLOOKUP("electricity|NOx|Asthma symptoms cough", US_national_yearly!$D:$AM, 10, FALSE), 1)</f>
        <v>4.2395363285875561E-5</v>
      </c>
      <c r="I6" s="7">
        <f>$B6 * IFERROR(VLOOKUP("electricity|NOx|Asthma symptoms cough", US_national_yearly!$D:$AM, 17, FALSE) / VLOOKUP("electricity|NOx|Asthma symptoms cough", US_national_yearly!$D:$AM, 10, FALSE), 1)</f>
        <v>4.2558665639320222E-5</v>
      </c>
      <c r="J6" s="7">
        <f>$B6 * IFERROR(VLOOKUP("electricity|NOx|Asthma symptoms cough", US_national_yearly!$D:$AM, 18, FALSE) / VLOOKUP("electricity|NOx|Asthma symptoms cough", US_national_yearly!$D:$AM, 10, FALSE), 1)</f>
        <v>4.272196799276489E-5</v>
      </c>
      <c r="K6" s="7">
        <f>$B6 * IFERROR(VLOOKUP("electricity|NOx|Asthma symptoms cough", US_national_yearly!$D:$AM, 19, FALSE) / VLOOKUP("electricity|NOx|Asthma symptoms cough", US_national_yearly!$D:$AM, 10, FALSE), 1)</f>
        <v>4.2885270346209557E-5</v>
      </c>
      <c r="L6" s="7">
        <f>$B6 * IFERROR(VLOOKUP("electricity|NOx|Asthma symptoms cough", US_national_yearly!$D:$AM, 20, FALSE) / VLOOKUP("electricity|NOx|Asthma symptoms cough", US_national_yearly!$D:$AM, 10, FALSE), 1)</f>
        <v>4.3048572699654225E-5</v>
      </c>
      <c r="M6" s="7">
        <f>$B6 * IFERROR(VLOOKUP("electricity|NOx|Asthma symptoms cough", US_national_yearly!$D:$AM, 21, FALSE) / VLOOKUP("electricity|NOx|Asthma symptoms cough", US_national_yearly!$D:$AM, 10, FALSE), 1)</f>
        <v>4.32118750530989E-5</v>
      </c>
      <c r="N6" s="7">
        <f>$B6 * IFERROR(VLOOKUP("electricity|NOx|Asthma symptoms cough", US_national_yearly!$D:$AM, 22, FALSE) / VLOOKUP("electricity|NOx|Asthma symptoms cough", US_national_yearly!$D:$AM, 10, FALSE), 1)</f>
        <v>4.3392812700484296E-5</v>
      </c>
      <c r="O6" s="7">
        <f>$B6 * IFERROR(VLOOKUP("electricity|NOx|Asthma symptoms cough", US_national_yearly!$D:$AM, 23, FALSE) / VLOOKUP("electricity|NOx|Asthma symptoms cough", US_national_yearly!$D:$AM, 10, FALSE), 1)</f>
        <v>4.3573750347869705E-5</v>
      </c>
      <c r="P6" s="7">
        <f>$B6 * IFERROR(VLOOKUP("electricity|NOx|Asthma symptoms cough", US_national_yearly!$D:$AM, 24, FALSE) / VLOOKUP("electricity|NOx|Asthma symptoms cough", US_national_yearly!$D:$AM, 10, FALSE), 1)</f>
        <v>4.3754687995255108E-5</v>
      </c>
      <c r="Q6" s="7">
        <f>$B6 * IFERROR(VLOOKUP("electricity|NOx|Asthma symptoms cough", US_national_yearly!$D:$AM, 25, FALSE) / VLOOKUP("electricity|NOx|Asthma symptoms cough", US_national_yearly!$D:$AM, 10, FALSE), 1)</f>
        <v>4.3935625642640517E-5</v>
      </c>
      <c r="R6" s="7">
        <f>$B6 * IFERROR(VLOOKUP("electricity|NOx|Asthma symptoms cough", US_national_yearly!$D:$AM, 26, FALSE) / VLOOKUP("electricity|NOx|Asthma symptoms cough", US_national_yearly!$D:$AM, 10, FALSE), 1)</f>
        <v>4.4116563290025913E-5</v>
      </c>
      <c r="S6" s="7">
        <f>$B6 * IFERROR(VLOOKUP("electricity|NOx|Asthma symptoms cough", US_national_yearly!$D:$AM, 27, FALSE) / VLOOKUP("electricity|NOx|Asthma symptoms cough", US_national_yearly!$D:$AM, 10, FALSE), 1)</f>
        <v>4.4342299667307106E-5</v>
      </c>
      <c r="T6" s="7">
        <f>$B6 * IFERROR(VLOOKUP("electricity|NOx|Asthma symptoms cough", US_national_yearly!$D:$AM, 28, FALSE) / VLOOKUP("electricity|NOx|Asthma symptoms cough", US_national_yearly!$D:$AM, 10, FALSE), 1)</f>
        <v>4.4568036044588291E-5</v>
      </c>
      <c r="U6" s="7">
        <f>$B6 * IFERROR(VLOOKUP("electricity|NOx|Asthma symptoms cough", US_national_yearly!$D:$AM, 29, FALSE) / VLOOKUP("electricity|NOx|Asthma symptoms cough", US_national_yearly!$D:$AM, 10, FALSE), 1)</f>
        <v>4.4793772421869497E-5</v>
      </c>
      <c r="V6" s="7">
        <f>$B6 * IFERROR(VLOOKUP("electricity|NOx|Asthma symptoms cough", US_national_yearly!$D:$AM, 30, FALSE) / VLOOKUP("electricity|NOx|Asthma symptoms cough", US_national_yearly!$D:$AM, 10, FALSE), 1)</f>
        <v>4.5019508799150683E-5</v>
      </c>
      <c r="W6" s="7">
        <f>$B6 * IFERROR(VLOOKUP("electricity|NOx|Asthma symptoms cough", US_national_yearly!$D:$AM, 31, FALSE) / VLOOKUP("electricity|NOx|Asthma symptoms cough", US_national_yearly!$D:$AM, 10, FALSE), 1)</f>
        <v>4.5245245176431875E-5</v>
      </c>
      <c r="X6" s="7">
        <f>$B6 * IFERROR(VLOOKUP("electricity|NOx|Asthma symptoms cough", US_national_yearly!$D:$AM, 32, FALSE) / VLOOKUP("electricity|NOx|Asthma symptoms cough", US_national_yearly!$D:$AM, 10, FALSE), 1)</f>
        <v>4.5453217607650798E-5</v>
      </c>
      <c r="Y6" s="7">
        <f>$B6 * IFERROR(VLOOKUP("electricity|NOx|Asthma symptoms cough", US_national_yearly!$D:$AM, 33, FALSE) / VLOOKUP("electricity|NOx|Asthma symptoms cough", US_national_yearly!$D:$AM, 10, FALSE), 1)</f>
        <v>4.5661190038869727E-5</v>
      </c>
      <c r="Z6" s="7">
        <f>$B6 * IFERROR(VLOOKUP("electricity|NOx|Asthma symptoms cough", US_national_yearly!$D:$AM, 34, FALSE) / VLOOKUP("electricity|NOx|Asthma symptoms cough", US_national_yearly!$D:$AM, 10, FALSE), 1)</f>
        <v>4.586916247008865E-5</v>
      </c>
      <c r="AA6" s="7">
        <f>$B6 * IFERROR(VLOOKUP("electricity|NOx|Asthma symptoms cough", US_national_yearly!$D:$AM, 35, FALSE) / VLOOKUP("electricity|NOx|Asthma symptoms cough", US_national_yearly!$D:$AM, 10, FALSE), 1)</f>
        <v>4.6077134901307572E-5</v>
      </c>
      <c r="AB6" s="7">
        <f>$B6 * IFERROR(VLOOKUP("electricity|NOx|Asthma symptoms cough", US_national_yearly!$D:$AM, 36, FALSE) / VLOOKUP("electricity|NOx|Asthma symptoms cough", US_national_yearly!$D:$AM, 10, FALSE), 1)</f>
        <v>4.6285107332526494E-5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5.2998035612914916E-5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5.3725631383156822E-5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5.445322715339874E-5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5.5180822923640645E-5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5.5908418693882557E-5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5.6499992633093779E-5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5.7091566572304988E-5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5.7311477109051479E-5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5.7531387645797957E-5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5.7751298182544435E-5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5.7971208719290906E-5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5.819111925603739E-5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5.8434778299456997E-5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5.8678437342876618E-5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5.8922096386296225E-5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5.9165755429715846E-5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5.9409414473135453E-5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5.971340156863177E-5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6.0017388664128081E-5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6.0321375759624398E-5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6.0625362855120709E-5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6.0929349950617027E-5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6.1209415290696041E-5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6.1489480630775082E-5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6.1769545970854096E-5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6.204961131093311E-5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6.2329676651012151E-5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8.0971823146146495E-5</v>
      </c>
      <c r="C8" s="7">
        <f>$B8 * IFERROR(VLOOKUP("electricity|NOx|Asthma symptoms wheeze", US_national_yearly!$D:$AM, 11, FALSE) / VLOOKUP("electricity|NOx|Asthma symptoms wheeze", US_national_yearly!$D:$AM, 10, FALSE), 1)</f>
        <v>8.2083463520042993E-5</v>
      </c>
      <c r="D8" s="7">
        <f>$B8 * IFERROR(VLOOKUP("electricity|NOx|Asthma symptoms wheeze", US_national_yearly!$D:$AM, 12, FALSE) / VLOOKUP("electricity|NOx|Asthma symptoms wheeze", US_national_yearly!$D:$AM, 10, FALSE), 1)</f>
        <v>8.3195103893939491E-5</v>
      </c>
      <c r="E8" s="7">
        <f>$B8 * IFERROR(VLOOKUP("electricity|NOx|Asthma symptoms wheeze", US_national_yearly!$D:$AM, 13, FALSE) / VLOOKUP("electricity|NOx|Asthma symptoms wheeze", US_national_yearly!$D:$AM, 10, FALSE), 1)</f>
        <v>8.4306744267835976E-5</v>
      </c>
      <c r="F8" s="7">
        <f>$B8 * IFERROR(VLOOKUP("electricity|NOx|Asthma symptoms wheeze", US_national_yearly!$D:$AM, 14, FALSE) / VLOOKUP("electricity|NOx|Asthma symptoms wheeze", US_national_yearly!$D:$AM, 10, FALSE), 1)</f>
        <v>8.5418384641732488E-5</v>
      </c>
      <c r="G8" s="7">
        <f>$B8 * IFERROR(VLOOKUP("electricity|NOx|Asthma symptoms wheeze", US_national_yearly!$D:$AM, 15, FALSE) / VLOOKUP("electricity|NOx|Asthma symptoms wheeze", US_national_yearly!$D:$AM, 10, FALSE), 1)</f>
        <v>8.6322207207173001E-5</v>
      </c>
      <c r="H8" s="7">
        <f>$B8 * IFERROR(VLOOKUP("electricity|NOx|Asthma symptoms wheeze", US_national_yearly!$D:$AM, 16, FALSE) / VLOOKUP("electricity|NOx|Asthma symptoms wheeze", US_national_yearly!$D:$AM, 10, FALSE), 1)</f>
        <v>8.7226029772613541E-5</v>
      </c>
      <c r="I8" s="7">
        <f>$B8 * IFERROR(VLOOKUP("electricity|NOx|Asthma symptoms wheeze", US_national_yearly!$D:$AM, 17, FALSE) / VLOOKUP("electricity|NOx|Asthma symptoms wheeze", US_national_yearly!$D:$AM, 10, FALSE), 1)</f>
        <v>8.75620150033894E-5</v>
      </c>
      <c r="J8" s="7">
        <f>$B8 * IFERROR(VLOOKUP("electricity|NOx|Asthma symptoms wheeze", US_national_yearly!$D:$AM, 18, FALSE) / VLOOKUP("electricity|NOx|Asthma symptoms wheeze", US_national_yearly!$D:$AM, 10, FALSE), 1)</f>
        <v>8.7898000234165271E-5</v>
      </c>
      <c r="K8" s="7">
        <f>$B8 * IFERROR(VLOOKUP("electricity|NOx|Asthma symptoms wheeze", US_national_yearly!$D:$AM, 19, FALSE) / VLOOKUP("electricity|NOx|Asthma symptoms wheeze", US_national_yearly!$D:$AM, 10, FALSE), 1)</f>
        <v>8.8233985464941184E-5</v>
      </c>
      <c r="L8" s="7">
        <f>$B8 * IFERROR(VLOOKUP("electricity|NOx|Asthma symptoms wheeze", US_national_yearly!$D:$AM, 20, FALSE) / VLOOKUP("electricity|NOx|Asthma symptoms wheeze", US_national_yearly!$D:$AM, 10, FALSE), 1)</f>
        <v>8.8569970695717056E-5</v>
      </c>
      <c r="M8" s="7">
        <f>$B8 * IFERROR(VLOOKUP("electricity|NOx|Asthma symptoms wheeze", US_national_yearly!$D:$AM, 21, FALSE) / VLOOKUP("electricity|NOx|Asthma symptoms wheeze", US_national_yearly!$D:$AM, 10, FALSE), 1)</f>
        <v>8.8905955926492928E-5</v>
      </c>
      <c r="N8" s="7">
        <f>$B8 * IFERROR(VLOOKUP("electricity|NOx|Asthma symptoms wheeze", US_national_yearly!$D:$AM, 22, FALSE) / VLOOKUP("electricity|NOx|Asthma symptoms wheeze", US_national_yearly!$D:$AM, 10, FALSE), 1)</f>
        <v>8.9278224763636706E-5</v>
      </c>
      <c r="O8" s="7">
        <f>$B8 * IFERROR(VLOOKUP("electricity|NOx|Asthma symptoms wheeze", US_national_yearly!$D:$AM, 23, FALSE) / VLOOKUP("electricity|NOx|Asthma symptoms wheeze", US_national_yearly!$D:$AM, 10, FALSE), 1)</f>
        <v>8.9650493600780526E-5</v>
      </c>
      <c r="P8" s="7">
        <f>$B8 * IFERROR(VLOOKUP("electricity|NOx|Asthma symptoms wheeze", US_national_yearly!$D:$AM, 24, FALSE) / VLOOKUP("electricity|NOx|Asthma symptoms wheeze", US_national_yearly!$D:$AM, 10, FALSE), 1)</f>
        <v>9.0022762437924332E-5</v>
      </c>
      <c r="Q8" s="7">
        <f>$B8 * IFERROR(VLOOKUP("electricity|NOx|Asthma symptoms wheeze", US_national_yearly!$D:$AM, 25, FALSE) / VLOOKUP("electricity|NOx|Asthma symptoms wheeze", US_national_yearly!$D:$AM, 10, FALSE), 1)</f>
        <v>9.0395031275068125E-5</v>
      </c>
      <c r="R8" s="7">
        <f>$B8 * IFERROR(VLOOKUP("electricity|NOx|Asthma symptoms wheeze", US_national_yearly!$D:$AM, 26, FALSE) / VLOOKUP("electricity|NOx|Asthma symptoms wheeze", US_national_yearly!$D:$AM, 10, FALSE), 1)</f>
        <v>9.0767300112211903E-5</v>
      </c>
      <c r="S8" s="7">
        <f>$B8 * IFERROR(VLOOKUP("electricity|NOx|Asthma symptoms wheeze", US_national_yearly!$D:$AM, 27, FALSE) / VLOOKUP("electricity|NOx|Asthma symptoms wheeze", US_national_yearly!$D:$AM, 10, FALSE), 1)</f>
        <v>9.123173976814127E-5</v>
      </c>
      <c r="T8" s="7">
        <f>$B8 * IFERROR(VLOOKUP("electricity|NOx|Asthma symptoms wheeze", US_national_yearly!$D:$AM, 28, FALSE) / VLOOKUP("electricity|NOx|Asthma symptoms wheeze", US_national_yearly!$D:$AM, 10, FALSE), 1)</f>
        <v>9.1696179424070637E-5</v>
      </c>
      <c r="U8" s="7">
        <f>$B8 * IFERROR(VLOOKUP("electricity|NOx|Asthma symptoms wheeze", US_national_yearly!$D:$AM, 29, FALSE) / VLOOKUP("electricity|NOx|Asthma symptoms wheeze", US_national_yearly!$D:$AM, 10, FALSE), 1)</f>
        <v>9.2160619079999977E-5</v>
      </c>
      <c r="V8" s="7">
        <f>$B8 * IFERROR(VLOOKUP("electricity|NOx|Asthma symptoms wheeze", US_national_yearly!$D:$AM, 30, FALSE) / VLOOKUP("electricity|NOx|Asthma symptoms wheeze", US_national_yearly!$D:$AM, 10, FALSE), 1)</f>
        <v>9.2625058735929344E-5</v>
      </c>
      <c r="W8" s="7">
        <f>$B8 * IFERROR(VLOOKUP("electricity|NOx|Asthma symptoms wheeze", US_national_yearly!$D:$AM, 31, FALSE) / VLOOKUP("electricity|NOx|Asthma symptoms wheeze", US_national_yearly!$D:$AM, 10, FALSE), 1)</f>
        <v>9.308949839185871E-5</v>
      </c>
      <c r="X8" s="7">
        <f>$B8 * IFERROR(VLOOKUP("electricity|NOx|Asthma symptoms wheeze", US_national_yearly!$D:$AM, 32, FALSE) / VLOOKUP("electricity|NOx|Asthma symptoms wheeze", US_national_yearly!$D:$AM, 10, FALSE), 1)</f>
        <v>9.3517389747011336E-5</v>
      </c>
      <c r="Y8" s="7">
        <f>$B8 * IFERROR(VLOOKUP("electricity|NOx|Asthma symptoms wheeze", US_national_yearly!$D:$AM, 33, FALSE) / VLOOKUP("electricity|NOx|Asthma symptoms wheeze", US_national_yearly!$D:$AM, 10, FALSE), 1)</f>
        <v>9.3945281102163962E-5</v>
      </c>
      <c r="Z8" s="7">
        <f>$B8 * IFERROR(VLOOKUP("electricity|NOx|Asthma symptoms wheeze", US_national_yearly!$D:$AM, 34, FALSE) / VLOOKUP("electricity|NOx|Asthma symptoms wheeze", US_national_yearly!$D:$AM, 10, FALSE), 1)</f>
        <v>9.4373172457316574E-5</v>
      </c>
      <c r="AA8" s="7">
        <f>$B8 * IFERROR(VLOOKUP("electricity|NOx|Asthma symptoms wheeze", US_national_yearly!$D:$AM, 35, FALSE) / VLOOKUP("electricity|NOx|Asthma symptoms wheeze", US_national_yearly!$D:$AM, 10, FALSE), 1)</f>
        <v>9.4801063812469214E-5</v>
      </c>
      <c r="AB8" s="7">
        <f>$B8 * IFERROR(VLOOKUP("electricity|NOx|Asthma symptoms wheeze", US_national_yearly!$D:$AM, 36, FALSE) / VLOOKUP("electricity|NOx|Asthma symptoms wheeze", US_national_yearly!$D:$AM, 10, FALSE), 1)</f>
        <v>9.5228955167621826E-5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1.0577527035593034E-6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1.0848435169953396E-6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1.111934330431376E-6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1.1390251438674122E-6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1.1661159573034482E-6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1.1921950449387815E-6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1.2182741325741151E-6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1.2407000024562219E-6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1.263125872338329E-6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1.2855517422204364E-6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1.3079776121025432E-6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1.3304034819846504E-6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1.3457722122185619E-6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1.3611409424524736E-6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1.3765096726863851E-6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1.3918784029202966E-6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1.4072471331542083E-6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1.4160001153339522E-6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1.4247530975136966E-6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1.4335060796934403E-6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1.4422590618731844E-6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1.4510120440529284E-6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1.4573784870636537E-6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1.4637449300743788E-6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1.4701113730851046E-6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1.4764778160958299E-6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1.482844259106555E-6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4.4336817608261565E-6</v>
      </c>
      <c r="C13" s="7">
        <f>$B13 * IFERROR(VLOOKUP("electricity|NOx|Non-fatal heart attacks", US_national_yearly!$D:$AM, 11, FALSE) / VLOOKUP("electricity|NOx|Non-fatal heart attacks", US_national_yearly!$D:$AM, 10, FALSE), 1)</f>
        <v>4.5609162127926811E-6</v>
      </c>
      <c r="D13" s="7">
        <f>$B13 * IFERROR(VLOOKUP("electricity|NOx|Non-fatal heart attacks", US_national_yearly!$D:$AM, 12, FALSE) / VLOOKUP("electricity|NOx|Non-fatal heart attacks", US_national_yearly!$D:$AM, 10, FALSE), 1)</f>
        <v>4.688150664759205E-6</v>
      </c>
      <c r="E13" s="7">
        <f>$B13 * IFERROR(VLOOKUP("electricity|NOx|Non-fatal heart attacks", US_national_yearly!$D:$AM, 13, FALSE) / VLOOKUP("electricity|NOx|Non-fatal heart attacks", US_national_yearly!$D:$AM, 10, FALSE), 1)</f>
        <v>4.8153851167257297E-6</v>
      </c>
      <c r="F13" s="7">
        <f>$B13 * IFERROR(VLOOKUP("electricity|NOx|Non-fatal heart attacks", US_national_yearly!$D:$AM, 14, FALSE) / VLOOKUP("electricity|NOx|Non-fatal heart attacks", US_national_yearly!$D:$AM, 10, FALSE), 1)</f>
        <v>4.9426195686922552E-6</v>
      </c>
      <c r="G13" s="7">
        <f>$B13 * IFERROR(VLOOKUP("electricity|NOx|Non-fatal heart attacks", US_national_yearly!$D:$AM, 15, FALSE) / VLOOKUP("electricity|NOx|Non-fatal heart attacks", US_national_yearly!$D:$AM, 10, FALSE), 1)</f>
        <v>5.062479304220163E-6</v>
      </c>
      <c r="H13" s="7">
        <f>$B13 * IFERROR(VLOOKUP("electricity|NOx|Non-fatal heart attacks", US_national_yearly!$D:$AM, 16, FALSE) / VLOOKUP("electricity|NOx|Non-fatal heart attacks", US_national_yearly!$D:$AM, 10, FALSE), 1)</f>
        <v>5.1823390397480709E-6</v>
      </c>
      <c r="I13" s="7">
        <f>$B13 * IFERROR(VLOOKUP("electricity|NOx|Non-fatal heart attacks", US_national_yearly!$D:$AM, 17, FALSE) / VLOOKUP("electricity|NOx|Non-fatal heart attacks", US_national_yearly!$D:$AM, 10, FALSE), 1)</f>
        <v>5.2784544215141084E-6</v>
      </c>
      <c r="J13" s="7">
        <f>$B13 * IFERROR(VLOOKUP("electricity|NOx|Non-fatal heart attacks", US_national_yearly!$D:$AM, 18, FALSE) / VLOOKUP("electricity|NOx|Non-fatal heart attacks", US_national_yearly!$D:$AM, 10, FALSE), 1)</f>
        <v>5.3745698032801451E-6</v>
      </c>
      <c r="K13" s="7">
        <f>$B13 * IFERROR(VLOOKUP("electricity|NOx|Non-fatal heart attacks", US_national_yearly!$D:$AM, 19, FALSE) / VLOOKUP("electricity|NOx|Non-fatal heart attacks", US_national_yearly!$D:$AM, 10, FALSE), 1)</f>
        <v>5.4706851850461776E-6</v>
      </c>
      <c r="L13" s="7">
        <f>$B13 * IFERROR(VLOOKUP("electricity|NOx|Non-fatal heart attacks", US_national_yearly!$D:$AM, 20, FALSE) / VLOOKUP("electricity|NOx|Non-fatal heart attacks", US_national_yearly!$D:$AM, 10, FALSE), 1)</f>
        <v>5.5668005668122152E-6</v>
      </c>
      <c r="M13" s="7">
        <f>$B13 * IFERROR(VLOOKUP("electricity|NOx|Non-fatal heart attacks", US_national_yearly!$D:$AM, 21, FALSE) / VLOOKUP("electricity|NOx|Non-fatal heart attacks", US_national_yearly!$D:$AM, 10, FALSE), 1)</f>
        <v>5.6629159485782536E-6</v>
      </c>
      <c r="N13" s="7">
        <f>$B13 * IFERROR(VLOOKUP("electricity|NOx|Non-fatal heart attacks", US_national_yearly!$D:$AM, 22, FALSE) / VLOOKUP("electricity|NOx|Non-fatal heart attacks", US_national_yearly!$D:$AM, 10, FALSE), 1)</f>
        <v>5.7221923015457755E-6</v>
      </c>
      <c r="O13" s="7">
        <f>$B13 * IFERROR(VLOOKUP("electricity|NOx|Non-fatal heart attacks", US_national_yearly!$D:$AM, 23, FALSE) / VLOOKUP("electricity|NOx|Non-fatal heart attacks", US_national_yearly!$D:$AM, 10, FALSE), 1)</f>
        <v>5.781468654513299E-6</v>
      </c>
      <c r="P13" s="7">
        <f>$B13 * IFERROR(VLOOKUP("electricity|NOx|Non-fatal heart attacks", US_national_yearly!$D:$AM, 24, FALSE) / VLOOKUP("electricity|NOx|Non-fatal heart attacks", US_national_yearly!$D:$AM, 10, FALSE), 1)</f>
        <v>5.8407450074808209E-6</v>
      </c>
      <c r="Q13" s="7">
        <f>$B13 * IFERROR(VLOOKUP("electricity|NOx|Non-fatal heart attacks", US_national_yearly!$D:$AM, 25, FALSE) / VLOOKUP("electricity|NOx|Non-fatal heart attacks", US_national_yearly!$D:$AM, 10, FALSE), 1)</f>
        <v>5.9000213604483437E-6</v>
      </c>
      <c r="R13" s="7">
        <f>$B13 * IFERROR(VLOOKUP("electricity|NOx|Non-fatal heart attacks", US_national_yearly!$D:$AM, 26, FALSE) / VLOOKUP("electricity|NOx|Non-fatal heart attacks", US_national_yearly!$D:$AM, 10, FALSE), 1)</f>
        <v>5.9592977134158664E-6</v>
      </c>
      <c r="S13" s="7">
        <f>$B13 * IFERROR(VLOOKUP("electricity|NOx|Non-fatal heart attacks", US_national_yearly!$D:$AM, 27, FALSE) / VLOOKUP("electricity|NOx|Non-fatal heart attacks", US_national_yearly!$D:$AM, 10, FALSE), 1)</f>
        <v>5.9882599419956146E-6</v>
      </c>
      <c r="T13" s="7">
        <f>$B13 * IFERROR(VLOOKUP("electricity|NOx|Non-fatal heart attacks", US_national_yearly!$D:$AM, 28, FALSE) / VLOOKUP("electricity|NOx|Non-fatal heart attacks", US_national_yearly!$D:$AM, 10, FALSE), 1)</f>
        <v>6.0172221705753627E-6</v>
      </c>
      <c r="U13" s="7">
        <f>$B13 * IFERROR(VLOOKUP("electricity|NOx|Non-fatal heart attacks", US_national_yearly!$D:$AM, 29, FALSE) / VLOOKUP("electricity|NOx|Non-fatal heart attacks", US_national_yearly!$D:$AM, 10, FALSE), 1)</f>
        <v>6.0461843991551117E-6</v>
      </c>
      <c r="V13" s="7">
        <f>$B13 * IFERROR(VLOOKUP("electricity|NOx|Non-fatal heart attacks", US_national_yearly!$D:$AM, 30, FALSE) / VLOOKUP("electricity|NOx|Non-fatal heart attacks", US_national_yearly!$D:$AM, 10, FALSE), 1)</f>
        <v>6.0751466277348599E-6</v>
      </c>
      <c r="W13" s="7">
        <f>$B13 * IFERROR(VLOOKUP("electricity|NOx|Non-fatal heart attacks", US_national_yearly!$D:$AM, 31, FALSE) / VLOOKUP("electricity|NOx|Non-fatal heart attacks", US_national_yearly!$D:$AM, 10, FALSE), 1)</f>
        <v>6.1041088563146089E-6</v>
      </c>
      <c r="X13" s="7">
        <f>$B13 * IFERROR(VLOOKUP("electricity|NOx|Non-fatal heart attacks", US_national_yearly!$D:$AM, 32, FALSE) / VLOOKUP("electricity|NOx|Non-fatal heart attacks", US_national_yearly!$D:$AM, 10, FALSE), 1)</f>
        <v>6.1243237221883744E-6</v>
      </c>
      <c r="Y13" s="7">
        <f>$B13 * IFERROR(VLOOKUP("electricity|NOx|Non-fatal heart attacks", US_national_yearly!$D:$AM, 33, FALSE) / VLOOKUP("electricity|NOx|Non-fatal heart attacks", US_national_yearly!$D:$AM, 10, FALSE), 1)</f>
        <v>6.1445385880621417E-6</v>
      </c>
      <c r="Z13" s="7">
        <f>$B13 * IFERROR(VLOOKUP("electricity|NOx|Non-fatal heart attacks", US_national_yearly!$D:$AM, 34, FALSE) / VLOOKUP("electricity|NOx|Non-fatal heart attacks", US_national_yearly!$D:$AM, 10, FALSE), 1)</f>
        <v>6.1647534539359073E-6</v>
      </c>
      <c r="AA13" s="7">
        <f>$B13 * IFERROR(VLOOKUP("electricity|NOx|Non-fatal heart attacks", US_national_yearly!$D:$AM, 35, FALSE) / VLOOKUP("electricity|NOx|Non-fatal heart attacks", US_national_yearly!$D:$AM, 10, FALSE), 1)</f>
        <v>6.1849683198096729E-6</v>
      </c>
      <c r="AB13" s="7">
        <f>$B13 * IFERROR(VLOOKUP("electricity|NOx|Non-fatal heart attacks", US_national_yearly!$D:$AM, 36, FALSE) / VLOOKUP("electricity|NOx|Non-fatal heart attacks", US_national_yearly!$D:$AM, 10, FALSE), 1)</f>
        <v>6.2051831856834402E-6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4.2580221939023562E-3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4.2645506716236913E-3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4.2710791493450265E-3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4.2776076270663616E-3</v>
      </c>
      <c r="F14" s="7">
        <f>$B14 * IFERROR(VLOOKUP("electricity|NOx|Minor restricted activity days", US_national_yearly!$D:$AM, 14, FALSE) / VLOOKUP("electricity|NOx|Minor restricted activity days", US_national_yearly!$D:$AM, 10, FALSE), 1)</f>
        <v>4.2841361047876976E-3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4.2955240513602305E-3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4.3069119979327625E-3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4.3294429731056475E-3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4.3519739482785298E-3</v>
      </c>
      <c r="K14" s="7">
        <f>$B14 * IFERROR(VLOOKUP("electricity|NOx|Minor restricted activity days", US_national_yearly!$D:$AM, 19, FALSE) / VLOOKUP("electricity|NOx|Minor restricted activity days", US_national_yearly!$D:$AM, 10, FALSE), 1)</f>
        <v>4.3745049234514147E-3</v>
      </c>
      <c r="L14" s="7">
        <f>$B14 * IFERROR(VLOOKUP("electricity|NOx|Minor restricted activity days", US_national_yearly!$D:$AM, 20, FALSE) / VLOOKUP("electricity|NOx|Minor restricted activity days", US_national_yearly!$D:$AM, 10, FALSE), 1)</f>
        <v>4.3970358986242979E-3</v>
      </c>
      <c r="M14" s="7">
        <f>$B14 * IFERROR(VLOOKUP("electricity|NOx|Minor restricted activity days", US_national_yearly!$D:$AM, 21, FALSE) / VLOOKUP("electricity|NOx|Minor restricted activity days", US_national_yearly!$D:$AM, 10, FALSE), 1)</f>
        <v>4.419566873797182E-3</v>
      </c>
      <c r="N14" s="7">
        <f>$B14 * IFERROR(VLOOKUP("electricity|NOx|Minor restricted activity days", US_national_yearly!$D:$AM, 22, FALSE) / VLOOKUP("electricity|NOx|Minor restricted activity days", US_national_yearly!$D:$AM, 10, FALSE), 1)</f>
        <v>4.452148556957667E-3</v>
      </c>
      <c r="O14" s="7">
        <f>$B14 * IFERROR(VLOOKUP("electricity|NOx|Minor restricted activity days", US_national_yearly!$D:$AM, 23, FALSE) / VLOOKUP("electricity|NOx|Minor restricted activity days", US_national_yearly!$D:$AM, 10, FALSE), 1)</f>
        <v>4.4847302401181503E-3</v>
      </c>
      <c r="P14" s="7">
        <f>$B14 * IFERROR(VLOOKUP("electricity|NOx|Minor restricted activity days", US_national_yearly!$D:$AM, 24, FALSE) / VLOOKUP("electricity|NOx|Minor restricted activity days", US_national_yearly!$D:$AM, 10, FALSE), 1)</f>
        <v>4.5173119232786337E-3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4.5498936064391178E-3</v>
      </c>
      <c r="R14" s="7">
        <f>$B14 * IFERROR(VLOOKUP("electricity|NOx|Minor restricted activity days", US_national_yearly!$D:$AM, 26, FALSE) / VLOOKUP("electricity|NOx|Minor restricted activity days", US_national_yearly!$D:$AM, 10, FALSE), 1)</f>
        <v>4.582475289599602E-3</v>
      </c>
      <c r="S14" s="7">
        <f>$B14 * IFERROR(VLOOKUP("electricity|NOx|Minor restricted activity days", US_national_yearly!$D:$AM, 27, FALSE) / VLOOKUP("electricity|NOx|Minor restricted activity days", US_national_yearly!$D:$AM, 10, FALSE), 1)</f>
        <v>4.6153033659528412E-3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4.6481314423060796E-3</v>
      </c>
      <c r="U14" s="7">
        <f>$B14 * IFERROR(VLOOKUP("electricity|NOx|Minor restricted activity days", US_national_yearly!$D:$AM, 29, FALSE) / VLOOKUP("electricity|NOx|Minor restricted activity days", US_national_yearly!$D:$AM, 10, FALSE), 1)</f>
        <v>4.6809595186593196E-3</v>
      </c>
      <c r="V14" s="7">
        <f>$B14 * IFERROR(VLOOKUP("electricity|NOx|Minor restricted activity days", US_national_yearly!$D:$AM, 30, FALSE) / VLOOKUP("electricity|NOx|Minor restricted activity days", US_national_yearly!$D:$AM, 10, FALSE), 1)</f>
        <v>4.7137875950125589E-3</v>
      </c>
      <c r="W14" s="7">
        <f>$B14 * IFERROR(VLOOKUP("electricity|NOx|Minor restricted activity days", US_national_yearly!$D:$AM, 31, FALSE) / VLOOKUP("electricity|NOx|Minor restricted activity days", US_national_yearly!$D:$AM, 10, FALSE), 1)</f>
        <v>4.7466156713657981E-3</v>
      </c>
      <c r="X14" s="7">
        <f>$B14 * IFERROR(VLOOKUP("electricity|NOx|Minor restricted activity days", US_national_yearly!$D:$AM, 32, FALSE) / VLOOKUP("electricity|NOx|Minor restricted activity days", US_national_yearly!$D:$AM, 10, FALSE), 1)</f>
        <v>4.7743784952907079E-3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4.8021413192156151E-3</v>
      </c>
      <c r="Z14" s="7">
        <f>$B14 * IFERROR(VLOOKUP("electricity|NOx|Minor restricted activity days", US_national_yearly!$D:$AM, 34, FALSE) / VLOOKUP("electricity|NOx|Minor restricted activity days", US_national_yearly!$D:$AM, 10, FALSE), 1)</f>
        <v>4.8299041431405293E-3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4.8576669670654382E-3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4.8854297909903472E-3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7.2152800576204138E-4</v>
      </c>
      <c r="C15" s="7">
        <f>$B15 * IFERROR(VLOOKUP("electricity|NOx|Work loss days", US_national_yearly!$D:$AM, 11, FALSE) / VLOOKUP("electricity|NOx|Work loss days", US_national_yearly!$D:$AM, 10, FALSE), 1)</f>
        <v>7.2313727108926128E-4</v>
      </c>
      <c r="D15" s="7">
        <f>$B15 * IFERROR(VLOOKUP("electricity|NOx|Work loss days", US_national_yearly!$D:$AM, 12, FALSE) / VLOOKUP("electricity|NOx|Work loss days", US_national_yearly!$D:$AM, 10, FALSE), 1)</f>
        <v>7.2474653641648118E-4</v>
      </c>
      <c r="E15" s="7">
        <f>$B15 * IFERROR(VLOOKUP("electricity|NOx|Work loss days", US_national_yearly!$D:$AM, 13, FALSE) / VLOOKUP("electricity|NOx|Work loss days", US_national_yearly!$D:$AM, 10, FALSE), 1)</f>
        <v>7.2635580174370109E-4</v>
      </c>
      <c r="F15" s="7">
        <f>$B15 * IFERROR(VLOOKUP("electricity|NOx|Work loss days", US_national_yearly!$D:$AM, 14, FALSE) / VLOOKUP("electricity|NOx|Work loss days", US_national_yearly!$D:$AM, 10, FALSE), 1)</f>
        <v>7.2796506707092099E-4</v>
      </c>
      <c r="G15" s="7">
        <f>$B15 * IFERROR(VLOOKUP("electricity|NOx|Work loss days", US_national_yearly!$D:$AM, 15, FALSE) / VLOOKUP("electricity|NOx|Work loss days", US_national_yearly!$D:$AM, 10, FALSE), 1)</f>
        <v>7.3023376227137184E-4</v>
      </c>
      <c r="H15" s="7">
        <f>$B15 * IFERROR(VLOOKUP("electricity|NOx|Work loss days", US_national_yearly!$D:$AM, 16, FALSE) / VLOOKUP("electricity|NOx|Work loss days", US_national_yearly!$D:$AM, 10, FALSE), 1)</f>
        <v>7.3250245747182247E-4</v>
      </c>
      <c r="I15" s="7">
        <f>$B15 * IFERROR(VLOOKUP("electricity|NOx|Work loss days", US_national_yearly!$D:$AM, 17, FALSE) / VLOOKUP("electricity|NOx|Work loss days", US_national_yearly!$D:$AM, 10, FALSE), 1)</f>
        <v>7.361862094517152E-4</v>
      </c>
      <c r="J15" s="7">
        <f>$B15 * IFERROR(VLOOKUP("electricity|NOx|Work loss days", US_national_yearly!$D:$AM, 18, FALSE) / VLOOKUP("electricity|NOx|Work loss days", US_national_yearly!$D:$AM, 10, FALSE), 1)</f>
        <v>7.3986996143160792E-4</v>
      </c>
      <c r="K15" s="7">
        <f>$B15 * IFERROR(VLOOKUP("electricity|NOx|Work loss days", US_national_yearly!$D:$AM, 19, FALSE) / VLOOKUP("electricity|NOx|Work loss days", US_national_yearly!$D:$AM, 10, FALSE), 1)</f>
        <v>7.4355371341150054E-4</v>
      </c>
      <c r="L15" s="7">
        <f>$B15 * IFERROR(VLOOKUP("electricity|NOx|Work loss days", US_national_yearly!$D:$AM, 20, FALSE) / VLOOKUP("electricity|NOx|Work loss days", US_national_yearly!$D:$AM, 10, FALSE), 1)</f>
        <v>7.4723746539139316E-4</v>
      </c>
      <c r="M15" s="7">
        <f>$B15 * IFERROR(VLOOKUP("electricity|NOx|Work loss days", US_national_yearly!$D:$AM, 21, FALSE) / VLOOKUP("electricity|NOx|Work loss days", US_national_yearly!$D:$AM, 10, FALSE), 1)</f>
        <v>7.5092121737128567E-4</v>
      </c>
      <c r="N15" s="7">
        <f>$B15 * IFERROR(VLOOKUP("electricity|NOx|Work loss days", US_national_yearly!$D:$AM, 22, FALSE) / VLOOKUP("electricity|NOx|Work loss days", US_national_yearly!$D:$AM, 10, FALSE), 1)</f>
        <v>7.5578144576775514E-4</v>
      </c>
      <c r="O15" s="7">
        <f>$B15 * IFERROR(VLOOKUP("electricity|NOx|Work loss days", US_national_yearly!$D:$AM, 23, FALSE) / VLOOKUP("electricity|NOx|Work loss days", US_national_yearly!$D:$AM, 10, FALSE), 1)</f>
        <v>7.6064167416422439E-4</v>
      </c>
      <c r="P15" s="7">
        <f>$B15 * IFERROR(VLOOKUP("electricity|NOx|Work loss days", US_national_yearly!$D:$AM, 24, FALSE) / VLOOKUP("electricity|NOx|Work loss days", US_national_yearly!$D:$AM, 10, FALSE), 1)</f>
        <v>7.6550190256069385E-4</v>
      </c>
      <c r="Q15" s="7">
        <f>$B15 * IFERROR(VLOOKUP("electricity|NOx|Work loss days", US_national_yearly!$D:$AM, 25, FALSE) / VLOOKUP("electricity|NOx|Work loss days", US_national_yearly!$D:$AM, 10, FALSE), 1)</f>
        <v>7.7036213095716332E-4</v>
      </c>
      <c r="R15" s="7">
        <f>$B15 * IFERROR(VLOOKUP("electricity|NOx|Work loss days", US_national_yearly!$D:$AM, 26, FALSE) / VLOOKUP("electricity|NOx|Work loss days", US_national_yearly!$D:$AM, 10, FALSE), 1)</f>
        <v>7.7522235935363246E-4</v>
      </c>
      <c r="S15" s="7">
        <f>$B15 * IFERROR(VLOOKUP("electricity|NOx|Work loss days", US_national_yearly!$D:$AM, 27, FALSE) / VLOOKUP("electricity|NOx|Work loss days", US_national_yearly!$D:$AM, 10, FALSE), 1)</f>
        <v>7.8066886417404221E-4</v>
      </c>
      <c r="T15" s="7">
        <f>$B15 * IFERROR(VLOOKUP("electricity|NOx|Work loss days", US_national_yearly!$D:$AM, 28, FALSE) / VLOOKUP("electricity|NOx|Work loss days", US_national_yearly!$D:$AM, 10, FALSE), 1)</f>
        <v>7.8611536899445185E-4</v>
      </c>
      <c r="U15" s="7">
        <f>$B15 * IFERROR(VLOOKUP("electricity|NOx|Work loss days", US_national_yearly!$D:$AM, 29, FALSE) / VLOOKUP("electricity|NOx|Work loss days", US_national_yearly!$D:$AM, 10, FALSE), 1)</f>
        <v>7.9156187381486159E-4</v>
      </c>
      <c r="V15" s="7">
        <f>$B15 * IFERROR(VLOOKUP("electricity|NOx|Work loss days", US_national_yearly!$D:$AM, 30, FALSE) / VLOOKUP("electricity|NOx|Work loss days", US_national_yearly!$D:$AM, 10, FALSE), 1)</f>
        <v>7.9700837863527123E-4</v>
      </c>
      <c r="W15" s="7">
        <f>$B15 * IFERROR(VLOOKUP("electricity|NOx|Work loss days", US_national_yearly!$D:$AM, 31, FALSE) / VLOOKUP("electricity|NOx|Work loss days", US_national_yearly!$D:$AM, 10, FALSE), 1)</f>
        <v>8.0245488345568098E-4</v>
      </c>
      <c r="X15" s="7">
        <f>$B15 * IFERROR(VLOOKUP("electricity|NOx|Work loss days", US_national_yearly!$D:$AM, 32, FALSE) / VLOOKUP("electricity|NOx|Work loss days", US_national_yearly!$D:$AM, 10, FALSE), 1)</f>
        <v>8.0720262528908714E-4</v>
      </c>
      <c r="Y15" s="7">
        <f>$B15 * IFERROR(VLOOKUP("electricity|NOx|Work loss days", US_national_yearly!$D:$AM, 33, FALSE) / VLOOKUP("electricity|NOx|Work loss days", US_national_yearly!$D:$AM, 10, FALSE), 1)</f>
        <v>8.119503671224933E-4</v>
      </c>
      <c r="Z15" s="7">
        <f>$B15 * IFERROR(VLOOKUP("electricity|NOx|Work loss days", US_national_yearly!$D:$AM, 34, FALSE) / VLOOKUP("electricity|NOx|Work loss days", US_national_yearly!$D:$AM, 10, FALSE), 1)</f>
        <v>8.1669810895589935E-4</v>
      </c>
      <c r="AA15" s="7">
        <f>$B15 * IFERROR(VLOOKUP("electricity|NOx|Work loss days", US_national_yearly!$D:$AM, 35, FALSE) / VLOOKUP("electricity|NOx|Work loss days", US_national_yearly!$D:$AM, 10, FALSE), 1)</f>
        <v>8.2144585078930562E-4</v>
      </c>
      <c r="AB15" s="7">
        <f>$B15 * IFERROR(VLOOKUP("electricity|NOx|Work loss days", US_national_yearly!$D:$AM, 36, FALSE) / VLOOKUP("electricity|NOx|Work loss days", US_national_yearly!$D:$AM, 10, FALSE), 1)</f>
        <v>8.2619359262271178E-4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1.279424275786946E-6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1.3171118076511727E-6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1.3547993395153996E-6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1.3924868713796261E-6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1.430174403243853E-6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1.4662631411914517E-6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1.5023518791390505E-6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1.5331554695835165E-6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1.5639590600279827E-6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1.5947626504724489E-6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1.6255662409169152E-6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1.656369831361381E-6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1.6761387170213322E-6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1.6959076026812832E-6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1.7156764883412342E-6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1.7354453740011852E-6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1.7552142596611362E-6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1.7649428766853216E-6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1.7746714937095067E-6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1.7844001107336921E-6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1.7941287277578775E-6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1.8038573447820628E-6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1.8096880744928524E-6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1.815518804203642E-6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1.8213495339144314E-6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1.827180263625221E-6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1.8330109933360106E-6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4.112815004145234E-4</v>
      </c>
      <c r="C2" s="7">
        <f>$B2 * IFERROR(VLOOKUP("electricity|SO2|Premature mortality", US_national_yearly!$D:$AM, 11, FALSE) / VLOOKUP("electricity|SO2|Premature mortality", US_national_yearly!$D:$AM, 10, FALSE), 1)</f>
        <v>4.1655422413515799E-4</v>
      </c>
      <c r="D2" s="7">
        <f>$B2 * IFERROR(VLOOKUP("electricity|SO2|Premature mortality", US_national_yearly!$D:$AM, 12, FALSE) / VLOOKUP("electricity|SO2|Premature mortality", US_national_yearly!$D:$AM, 10, FALSE), 1)</f>
        <v>4.2182694785579248E-4</v>
      </c>
      <c r="E2" s="7">
        <f>$B2 * IFERROR(VLOOKUP("electricity|SO2|Premature mortality", US_national_yearly!$D:$AM, 13, FALSE) / VLOOKUP("electricity|SO2|Premature mortality", US_national_yearly!$D:$AM, 10, FALSE), 1)</f>
        <v>4.2709967157642702E-4</v>
      </c>
      <c r="F2" s="7">
        <f>$B2 * IFERROR(VLOOKUP("electricity|SO2|Premature mortality", US_national_yearly!$D:$AM, 14, FALSE) / VLOOKUP("electricity|SO2|Premature mortality", US_national_yearly!$D:$AM, 10, FALSE), 1)</f>
        <v>4.3237239529706151E-4</v>
      </c>
      <c r="G2" s="7">
        <f>$B2 * IFERROR(VLOOKUP("electricity|SO2|Premature mortality", US_national_yearly!$D:$AM, 15, FALSE) / VLOOKUP("electricity|SO2|Premature mortality", US_national_yearly!$D:$AM, 10, FALSE), 1)</f>
        <v>4.4252977604936452E-4</v>
      </c>
      <c r="H2" s="7">
        <f>$B2 * IFERROR(VLOOKUP("electricity|SO2|Premature mortality", US_national_yearly!$D:$AM, 16, FALSE) / VLOOKUP("electricity|SO2|Premature mortality", US_national_yearly!$D:$AM, 10, FALSE), 1)</f>
        <v>4.5268715680166742E-4</v>
      </c>
      <c r="I2" s="7">
        <f>$B2 * IFERROR(VLOOKUP("electricity|SO2|Premature mortality", US_national_yearly!$D:$AM, 17, FALSE) / VLOOKUP("electricity|SO2|Premature mortality", US_national_yearly!$D:$AM, 10, FALSE), 1)</f>
        <v>4.5952447694919688E-4</v>
      </c>
      <c r="J2" s="7">
        <f>$B2 * IFERROR(VLOOKUP("electricity|SO2|Premature mortality", US_national_yearly!$D:$AM, 18, FALSE) / VLOOKUP("electricity|SO2|Premature mortality", US_national_yearly!$D:$AM, 10, FALSE), 1)</f>
        <v>4.6636179709672634E-4</v>
      </c>
      <c r="K2" s="7">
        <f>$B2 * IFERROR(VLOOKUP("electricity|SO2|Premature mortality", US_national_yearly!$D:$AM, 19, FALSE) / VLOOKUP("electricity|SO2|Premature mortality", US_national_yearly!$D:$AM, 10, FALSE), 1)</f>
        <v>4.7319911724425569E-4</v>
      </c>
      <c r="L2" s="7">
        <f>$B2 * IFERROR(VLOOKUP("electricity|SO2|Premature mortality", US_national_yearly!$D:$AM, 20, FALSE) / VLOOKUP("electricity|SO2|Premature mortality", US_national_yearly!$D:$AM, 10, FALSE), 1)</f>
        <v>4.8003643739178526E-4</v>
      </c>
      <c r="M2" s="7">
        <f>$B2 * IFERROR(VLOOKUP("electricity|SO2|Premature mortality", US_national_yearly!$D:$AM, 21, FALSE) / VLOOKUP("electricity|SO2|Premature mortality", US_national_yearly!$D:$AM, 10, FALSE), 1)</f>
        <v>4.8687375753931461E-4</v>
      </c>
      <c r="N2" s="7">
        <f>$B2 * IFERROR(VLOOKUP("electricity|SO2|Premature mortality", US_national_yearly!$D:$AM, 22, FALSE) / VLOOKUP("electricity|SO2|Premature mortality", US_national_yearly!$D:$AM, 10, FALSE), 1)</f>
        <v>4.9235332467333439E-4</v>
      </c>
      <c r="O2" s="7">
        <f>$B2 * IFERROR(VLOOKUP("electricity|SO2|Premature mortality", US_national_yearly!$D:$AM, 23, FALSE) / VLOOKUP("electricity|SO2|Premature mortality", US_national_yearly!$D:$AM, 10, FALSE), 1)</f>
        <v>4.9783289180735434E-4</v>
      </c>
      <c r="P2" s="7">
        <f>$B2 * IFERROR(VLOOKUP("electricity|SO2|Premature mortality", US_national_yearly!$D:$AM, 24, FALSE) / VLOOKUP("electricity|SO2|Premature mortality", US_national_yearly!$D:$AM, 10, FALSE), 1)</f>
        <v>5.0331245894137406E-4</v>
      </c>
      <c r="Q2" s="7">
        <f>$B2 * IFERROR(VLOOKUP("electricity|SO2|Premature mortality", US_national_yearly!$D:$AM, 25, FALSE) / VLOOKUP("electricity|SO2|Premature mortality", US_national_yearly!$D:$AM, 10, FALSE), 1)</f>
        <v>5.087920260753939E-4</v>
      </c>
      <c r="R2" s="7">
        <f>$B2 * IFERROR(VLOOKUP("electricity|SO2|Premature mortality", US_national_yearly!$D:$AM, 26, FALSE) / VLOOKUP("electricity|SO2|Premature mortality", US_national_yearly!$D:$AM, 10, FALSE), 1)</f>
        <v>5.1427159320941373E-4</v>
      </c>
      <c r="S2" s="7">
        <f>$B2 * IFERROR(VLOOKUP("electricity|SO2|Premature mortality", US_national_yearly!$D:$AM, 27, FALSE) / VLOOKUP("electricity|SO2|Premature mortality", US_national_yearly!$D:$AM, 10, FALSE), 1)</f>
        <v>5.1741318910301308E-4</v>
      </c>
      <c r="T2" s="7">
        <f>$B2 * IFERROR(VLOOKUP("electricity|SO2|Premature mortality", US_national_yearly!$D:$AM, 28, FALSE) / VLOOKUP("electricity|SO2|Premature mortality", US_national_yearly!$D:$AM, 10, FALSE), 1)</f>
        <v>5.2055478499661253E-4</v>
      </c>
      <c r="U2" s="7">
        <f>$B2 * IFERROR(VLOOKUP("electricity|SO2|Premature mortality", US_national_yearly!$D:$AM, 29, FALSE) / VLOOKUP("electricity|SO2|Premature mortality", US_national_yearly!$D:$AM, 10, FALSE), 1)</f>
        <v>5.2369638089021188E-4</v>
      </c>
      <c r="V2" s="7">
        <f>$B2 * IFERROR(VLOOKUP("electricity|SO2|Premature mortality", US_national_yearly!$D:$AM, 30, FALSE) / VLOOKUP("electricity|SO2|Premature mortality", US_national_yearly!$D:$AM, 10, FALSE), 1)</f>
        <v>5.2683797678381133E-4</v>
      </c>
      <c r="W2" s="7">
        <f>$B2 * IFERROR(VLOOKUP("electricity|SO2|Premature mortality", US_national_yearly!$D:$AM, 31, FALSE) / VLOOKUP("electricity|SO2|Premature mortality", US_national_yearly!$D:$AM, 10, FALSE), 1)</f>
        <v>5.2997957267741068E-4</v>
      </c>
      <c r="X2" s="7">
        <f>$B2 * IFERROR(VLOOKUP("electricity|SO2|Premature mortality", US_national_yearly!$D:$AM, 32, FALSE) / VLOOKUP("electricity|SO2|Premature mortality", US_national_yearly!$D:$AM, 10, FALSE), 1)</f>
        <v>5.3090523029919034E-4</v>
      </c>
      <c r="Y2" s="7">
        <f>$B2 * IFERROR(VLOOKUP("electricity|SO2|Premature mortality", US_national_yearly!$D:$AM, 33, FALSE) / VLOOKUP("electricity|SO2|Premature mortality", US_national_yearly!$D:$AM, 10, FALSE), 1)</f>
        <v>5.3183088792096999E-4</v>
      </c>
      <c r="Z2" s="7">
        <f>$B2 * IFERROR(VLOOKUP("electricity|SO2|Premature mortality", US_national_yearly!$D:$AM, 34, FALSE) / VLOOKUP("electricity|SO2|Premature mortality", US_national_yearly!$D:$AM, 10, FALSE), 1)</f>
        <v>5.3275654554274965E-4</v>
      </c>
      <c r="AA2" s="7">
        <f>$B2 * IFERROR(VLOOKUP("electricity|SO2|Premature mortality", US_national_yearly!$D:$AM, 35, FALSE) / VLOOKUP("electricity|SO2|Premature mortality", US_national_yearly!$D:$AM, 10, FALSE), 1)</f>
        <v>5.3368220316452942E-4</v>
      </c>
      <c r="AB2" s="7">
        <f>$B2 * IFERROR(VLOOKUP("electricity|SO2|Premature mortality", US_national_yearly!$D:$AM, 36, FALSE) / VLOOKUP("electricity|SO2|Premature mortality", US_national_yearly!$D:$AM, 10, FALSE), 1)</f>
        <v>5.3460786078630908E-4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1.1825148151508002E-6</v>
      </c>
      <c r="C3" s="7">
        <f>$B3 * IFERROR(VLOOKUP("electricity|SO2|Infant mortality", US_national_yearly!$D:$AM, 11, FALSE) / VLOOKUP("electricity|SO2|Infant mortality", US_national_yearly!$D:$AM, 10, FALSE), 1)</f>
        <v>1.1725248133554473E-6</v>
      </c>
      <c r="D3" s="7">
        <f>$B3 * IFERROR(VLOOKUP("electricity|SO2|Infant mortality", US_national_yearly!$D:$AM, 12, FALSE) / VLOOKUP("electricity|SO2|Infant mortality", US_national_yearly!$D:$AM, 10, FALSE), 1)</f>
        <v>1.1625348115600942E-6</v>
      </c>
      <c r="E3" s="7">
        <f>$B3 * IFERROR(VLOOKUP("electricity|SO2|Infant mortality", US_national_yearly!$D:$AM, 13, FALSE) / VLOOKUP("electricity|SO2|Infant mortality", US_national_yearly!$D:$AM, 10, FALSE), 1)</f>
        <v>1.1525448097647412E-6</v>
      </c>
      <c r="F3" s="7">
        <f>$B3 * IFERROR(VLOOKUP("electricity|SO2|Infant mortality", US_national_yearly!$D:$AM, 14, FALSE) / VLOOKUP("electricity|SO2|Infant mortality", US_national_yearly!$D:$AM, 10, FALSE), 1)</f>
        <v>1.1425548079693885E-6</v>
      </c>
      <c r="G3" s="7">
        <f>$B3 * IFERROR(VLOOKUP("electricity|SO2|Infant mortality", US_national_yearly!$D:$AM, 15, FALSE) / VLOOKUP("electricity|SO2|Infant mortality", US_national_yearly!$D:$AM, 10, FALSE), 1)</f>
        <v>7.5985813308604773E-7</v>
      </c>
      <c r="H3" s="7">
        <f>$B3 * IFERROR(VLOOKUP("electricity|SO2|Infant mortality", US_national_yearly!$D:$AM, 16, FALSE) / VLOOKUP("electricity|SO2|Infant mortality", US_national_yearly!$D:$AM, 10, FALSE), 1)</f>
        <v>3.7716145820270707E-7</v>
      </c>
      <c r="I3" s="7">
        <f>$B3 * IFERROR(VLOOKUP("electricity|SO2|Infant mortality", US_national_yearly!$D:$AM, 17, FALSE) / VLOOKUP("electricity|SO2|Infant mortality", US_national_yearly!$D:$AM, 10, FALSE), 1)</f>
        <v>3.7474857507586743E-7</v>
      </c>
      <c r="J3" s="7">
        <f>$B3 * IFERROR(VLOOKUP("electricity|SO2|Infant mortality", US_national_yearly!$D:$AM, 18, FALSE) / VLOOKUP("electricity|SO2|Infant mortality", US_national_yearly!$D:$AM, 10, FALSE), 1)</f>
        <v>3.7233569194902773E-7</v>
      </c>
      <c r="K3" s="7">
        <f>$B3 * IFERROR(VLOOKUP("electricity|SO2|Infant mortality", US_national_yearly!$D:$AM, 19, FALSE) / VLOOKUP("electricity|SO2|Infant mortality", US_national_yearly!$D:$AM, 10, FALSE), 1)</f>
        <v>3.6992280882218819E-7</v>
      </c>
      <c r="L3" s="7">
        <f>$B3 * IFERROR(VLOOKUP("electricity|SO2|Infant mortality", US_national_yearly!$D:$AM, 20, FALSE) / VLOOKUP("electricity|SO2|Infant mortality", US_national_yearly!$D:$AM, 10, FALSE), 1)</f>
        <v>3.6750992569534849E-7</v>
      </c>
      <c r="M3" s="7">
        <f>$B3 * IFERROR(VLOOKUP("electricity|SO2|Infant mortality", US_national_yearly!$D:$AM, 21, FALSE) / VLOOKUP("electricity|SO2|Infant mortality", US_national_yearly!$D:$AM, 10, FALSE), 1)</f>
        <v>3.6509704256850884E-7</v>
      </c>
      <c r="N3" s="7">
        <f>$B3 * IFERROR(VLOOKUP("electricity|SO2|Infant mortality", US_national_yearly!$D:$AM, 22, FALSE) / VLOOKUP("electricity|SO2|Infant mortality", US_national_yearly!$D:$AM, 10, FALSE), 1)</f>
        <v>3.6356813289718182E-7</v>
      </c>
      <c r="O3" s="7">
        <f>$B3 * IFERROR(VLOOKUP("electricity|SO2|Infant mortality", US_national_yearly!$D:$AM, 23, FALSE) / VLOOKUP("electricity|SO2|Infant mortality", US_national_yearly!$D:$AM, 10, FALSE), 1)</f>
        <v>3.6203922322585474E-7</v>
      </c>
      <c r="P3" s="7">
        <f>$B3 * IFERROR(VLOOKUP("electricity|SO2|Infant mortality", US_national_yearly!$D:$AM, 24, FALSE) / VLOOKUP("electricity|SO2|Infant mortality", US_national_yearly!$D:$AM, 10, FALSE), 1)</f>
        <v>3.6051031355452766E-7</v>
      </c>
      <c r="Q3" s="7">
        <f>$B3 * IFERROR(VLOOKUP("electricity|SO2|Infant mortality", US_national_yearly!$D:$AM, 25, FALSE) / VLOOKUP("electricity|SO2|Infant mortality", US_national_yearly!$D:$AM, 10, FALSE), 1)</f>
        <v>3.5898140388320063E-7</v>
      </c>
      <c r="R3" s="7">
        <f>$B3 * IFERROR(VLOOKUP("electricity|SO2|Infant mortality", US_national_yearly!$D:$AM, 26, FALSE) / VLOOKUP("electricity|SO2|Infant mortality", US_national_yearly!$D:$AM, 10, FALSE), 1)</f>
        <v>3.574524942118736E-7</v>
      </c>
      <c r="S3" s="7">
        <f>$B3 * IFERROR(VLOOKUP("electricity|SO2|Infant mortality", US_national_yearly!$D:$AM, 27, FALSE) / VLOOKUP("electricity|SO2|Infant mortality", US_national_yearly!$D:$AM, 10, FALSE), 1)</f>
        <v>3.5554690203595852E-7</v>
      </c>
      <c r="T3" s="7">
        <f>$B3 * IFERROR(VLOOKUP("electricity|SO2|Infant mortality", US_national_yearly!$D:$AM, 28, FALSE) / VLOOKUP("electricity|SO2|Infant mortality", US_national_yearly!$D:$AM, 10, FALSE), 1)</f>
        <v>3.5364130986004355E-7</v>
      </c>
      <c r="U3" s="7">
        <f>$B3 * IFERROR(VLOOKUP("electricity|SO2|Infant mortality", US_national_yearly!$D:$AM, 29, FALSE) / VLOOKUP("electricity|SO2|Infant mortality", US_national_yearly!$D:$AM, 10, FALSE), 1)</f>
        <v>3.5173571768412858E-7</v>
      </c>
      <c r="V3" s="7">
        <f>$B3 * IFERROR(VLOOKUP("electricity|SO2|Infant mortality", US_national_yearly!$D:$AM, 30, FALSE) / VLOOKUP("electricity|SO2|Infant mortality", US_national_yearly!$D:$AM, 10, FALSE), 1)</f>
        <v>3.4983012550821361E-7</v>
      </c>
      <c r="W3" s="7">
        <f>$B3 * IFERROR(VLOOKUP("electricity|SO2|Infant mortality", US_national_yearly!$D:$AM, 31, FALSE) / VLOOKUP("electricity|SO2|Infant mortality", US_national_yearly!$D:$AM, 10, FALSE), 1)</f>
        <v>3.4792453333229858E-7</v>
      </c>
      <c r="X3" s="7">
        <f>$B3 * IFERROR(VLOOKUP("electricity|SO2|Infant mortality", US_national_yearly!$D:$AM, 32, FALSE) / VLOOKUP("electricity|SO2|Infant mortality", US_national_yearly!$D:$AM, 10, FALSE), 1)</f>
        <v>3.458913222838002E-7</v>
      </c>
      <c r="Y3" s="7">
        <f>$B3 * IFERROR(VLOOKUP("electricity|SO2|Infant mortality", US_national_yearly!$D:$AM, 33, FALSE) / VLOOKUP("electricity|SO2|Infant mortality", US_national_yearly!$D:$AM, 10, FALSE), 1)</f>
        <v>3.4385811123530172E-7</v>
      </c>
      <c r="Z3" s="7">
        <f>$B3 * IFERROR(VLOOKUP("electricity|SO2|Infant mortality", US_national_yearly!$D:$AM, 34, FALSE) / VLOOKUP("electricity|SO2|Infant mortality", US_national_yearly!$D:$AM, 10, FALSE), 1)</f>
        <v>3.4182490018680339E-7</v>
      </c>
      <c r="AA3" s="7">
        <f>$B3 * IFERROR(VLOOKUP("electricity|SO2|Infant mortality", US_national_yearly!$D:$AM, 35, FALSE) / VLOOKUP("electricity|SO2|Infant mortality", US_national_yearly!$D:$AM, 10, FALSE), 1)</f>
        <v>3.3979168913830506E-7</v>
      </c>
      <c r="AB3" s="7">
        <f>$B3 * IFERROR(VLOOKUP("electricity|SO2|Infant mortality", US_national_yearly!$D:$AM, 36, FALSE) / VLOOKUP("electricity|SO2|Infant mortality", US_national_yearly!$D:$AM, 10, FALSE), 1)</f>
        <v>3.3775847808980663E-7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1.1453354078062084E-3</v>
      </c>
      <c r="C6" s="7">
        <f>$B6 * IFERROR(VLOOKUP("electricity|SO2|Asthma symptoms cough", US_national_yearly!$D:$AM, 11, FALSE) / VLOOKUP("electricity|SO2|Asthma symptoms cough", US_national_yearly!$D:$AM, 10, FALSE), 1)</f>
        <v>1.1453354078062084E-3</v>
      </c>
      <c r="D6" s="7">
        <f>$B6 * IFERROR(VLOOKUP("electricity|SO2|Asthma symptoms cough", US_national_yearly!$D:$AM, 12, FALSE) / VLOOKUP("electricity|SO2|Asthma symptoms cough", US_national_yearly!$D:$AM, 10, FALSE), 1)</f>
        <v>1.1453354078062084E-3</v>
      </c>
      <c r="E6" s="7">
        <f>$B6 * IFERROR(VLOOKUP("electricity|SO2|Asthma symptoms cough", US_national_yearly!$D:$AM, 13, FALSE) / VLOOKUP("electricity|SO2|Asthma symptoms cough", US_national_yearly!$D:$AM, 10, FALSE), 1)</f>
        <v>1.1453354078062084E-3</v>
      </c>
      <c r="F6" s="7">
        <f>$B6 * IFERROR(VLOOKUP("electricity|SO2|Asthma symptoms cough", US_national_yearly!$D:$AM, 14, FALSE) / VLOOKUP("electricity|SO2|Asthma symptoms cough", US_national_yearly!$D:$AM, 10, FALSE), 1)</f>
        <v>1.1453354078062084E-3</v>
      </c>
      <c r="G6" s="7">
        <f>$B6 * IFERROR(VLOOKUP("electricity|SO2|Asthma symptoms cough", US_national_yearly!$D:$AM, 15, FALSE) / VLOOKUP("electricity|SO2|Asthma symptoms cough", US_national_yearly!$D:$AM, 10, FALSE), 1)</f>
        <v>1.1453354078062084E-3</v>
      </c>
      <c r="H6" s="7">
        <f>$B6 * IFERROR(VLOOKUP("electricity|SO2|Asthma symptoms cough", US_national_yearly!$D:$AM, 16, FALSE) / VLOOKUP("electricity|SO2|Asthma symptoms cough", US_national_yearly!$D:$AM, 10, FALSE), 1)</f>
        <v>1.1453354078062084E-3</v>
      </c>
      <c r="I6" s="7">
        <f>$B6 * IFERROR(VLOOKUP("electricity|SO2|Asthma symptoms cough", US_national_yearly!$D:$AM, 17, FALSE) / VLOOKUP("electricity|SO2|Asthma symptoms cough", US_national_yearly!$D:$AM, 10, FALSE), 1)</f>
        <v>1.1453354078062084E-3</v>
      </c>
      <c r="J6" s="7">
        <f>$B6 * IFERROR(VLOOKUP("electricity|SO2|Asthma symptoms cough", US_national_yearly!$D:$AM, 18, FALSE) / VLOOKUP("electricity|SO2|Asthma symptoms cough", US_national_yearly!$D:$AM, 10, FALSE), 1)</f>
        <v>1.1453354078062084E-3</v>
      </c>
      <c r="K6" s="7">
        <f>$B6 * IFERROR(VLOOKUP("electricity|SO2|Asthma symptoms cough", US_national_yearly!$D:$AM, 19, FALSE) / VLOOKUP("electricity|SO2|Asthma symptoms cough", US_national_yearly!$D:$AM, 10, FALSE), 1)</f>
        <v>1.1453354078062084E-3</v>
      </c>
      <c r="L6" s="7">
        <f>$B6 * IFERROR(VLOOKUP("electricity|SO2|Asthma symptoms cough", US_national_yearly!$D:$AM, 20, FALSE) / VLOOKUP("electricity|SO2|Asthma symptoms cough", US_national_yearly!$D:$AM, 10, FALSE), 1)</f>
        <v>1.1453354078062084E-3</v>
      </c>
      <c r="M6" s="7">
        <f>$B6 * IFERROR(VLOOKUP("electricity|SO2|Asthma symptoms cough", US_national_yearly!$D:$AM, 21, FALSE) / VLOOKUP("electricity|SO2|Asthma symptoms cough", US_national_yearly!$D:$AM, 10, FALSE), 1)</f>
        <v>1.1453354078062084E-3</v>
      </c>
      <c r="N6" s="7">
        <f>$B6 * IFERROR(VLOOKUP("electricity|SO2|Asthma symptoms cough", US_national_yearly!$D:$AM, 22, FALSE) / VLOOKUP("electricity|SO2|Asthma symptoms cough", US_national_yearly!$D:$AM, 10, FALSE), 1)</f>
        <v>1.1453354078062084E-3</v>
      </c>
      <c r="O6" s="7">
        <f>$B6 * IFERROR(VLOOKUP("electricity|SO2|Asthma symptoms cough", US_national_yearly!$D:$AM, 23, FALSE) / VLOOKUP("electricity|SO2|Asthma symptoms cough", US_national_yearly!$D:$AM, 10, FALSE), 1)</f>
        <v>1.1453354078062084E-3</v>
      </c>
      <c r="P6" s="7">
        <f>$B6 * IFERROR(VLOOKUP("electricity|SO2|Asthma symptoms cough", US_national_yearly!$D:$AM, 24, FALSE) / VLOOKUP("electricity|SO2|Asthma symptoms cough", US_national_yearly!$D:$AM, 10, FALSE), 1)</f>
        <v>1.1453354078062084E-3</v>
      </c>
      <c r="Q6" s="7">
        <f>$B6 * IFERROR(VLOOKUP("electricity|SO2|Asthma symptoms cough", US_national_yearly!$D:$AM, 25, FALSE) / VLOOKUP("electricity|SO2|Asthma symptoms cough", US_national_yearly!$D:$AM, 10, FALSE), 1)</f>
        <v>1.1453354078062084E-3</v>
      </c>
      <c r="R6" s="7">
        <f>$B6 * IFERROR(VLOOKUP("electricity|SO2|Asthma symptoms cough", US_national_yearly!$D:$AM, 26, FALSE) / VLOOKUP("electricity|SO2|Asthma symptoms cough", US_national_yearly!$D:$AM, 10, FALSE), 1)</f>
        <v>1.1453354078062084E-3</v>
      </c>
      <c r="S6" s="7">
        <f>$B6 * IFERROR(VLOOKUP("electricity|SO2|Asthma symptoms cough", US_national_yearly!$D:$AM, 27, FALSE) / VLOOKUP("electricity|SO2|Asthma symptoms cough", US_national_yearly!$D:$AM, 10, FALSE), 1)</f>
        <v>1.1453354078062084E-3</v>
      </c>
      <c r="T6" s="7">
        <f>$B6 * IFERROR(VLOOKUP("electricity|SO2|Asthma symptoms cough", US_national_yearly!$D:$AM, 28, FALSE) / VLOOKUP("electricity|SO2|Asthma symptoms cough", US_national_yearly!$D:$AM, 10, FALSE), 1)</f>
        <v>1.1453354078062084E-3</v>
      </c>
      <c r="U6" s="7">
        <f>$B6 * IFERROR(VLOOKUP("electricity|SO2|Asthma symptoms cough", US_national_yearly!$D:$AM, 29, FALSE) / VLOOKUP("electricity|SO2|Asthma symptoms cough", US_national_yearly!$D:$AM, 10, FALSE), 1)</f>
        <v>1.1453354078062084E-3</v>
      </c>
      <c r="V6" s="7">
        <f>$B6 * IFERROR(VLOOKUP("electricity|SO2|Asthma symptoms cough", US_national_yearly!$D:$AM, 30, FALSE) / VLOOKUP("electricity|SO2|Asthma symptoms cough", US_national_yearly!$D:$AM, 10, FALSE), 1)</f>
        <v>1.1453354078062084E-3</v>
      </c>
      <c r="W6" s="7">
        <f>$B6 * IFERROR(VLOOKUP("electricity|SO2|Asthma symptoms cough", US_national_yearly!$D:$AM, 31, FALSE) / VLOOKUP("electricity|SO2|Asthma symptoms cough", US_national_yearly!$D:$AM, 10, FALSE), 1)</f>
        <v>1.1453354078062084E-3</v>
      </c>
      <c r="X6" s="7">
        <f>$B6 * IFERROR(VLOOKUP("electricity|SO2|Asthma symptoms cough", US_national_yearly!$D:$AM, 32, FALSE) / VLOOKUP("electricity|SO2|Asthma symptoms cough", US_national_yearly!$D:$AM, 10, FALSE), 1)</f>
        <v>1.1453354078062084E-3</v>
      </c>
      <c r="Y6" s="7">
        <f>$B6 * IFERROR(VLOOKUP("electricity|SO2|Asthma symptoms cough", US_national_yearly!$D:$AM, 33, FALSE) / VLOOKUP("electricity|SO2|Asthma symptoms cough", US_national_yearly!$D:$AM, 10, FALSE), 1)</f>
        <v>1.1453354078062084E-3</v>
      </c>
      <c r="Z6" s="7">
        <f>$B6 * IFERROR(VLOOKUP("electricity|SO2|Asthma symptoms cough", US_national_yearly!$D:$AM, 34, FALSE) / VLOOKUP("electricity|SO2|Asthma symptoms cough", US_national_yearly!$D:$AM, 10, FALSE), 1)</f>
        <v>1.1453354078062084E-3</v>
      </c>
      <c r="AA6" s="7">
        <f>$B6 * IFERROR(VLOOKUP("electricity|SO2|Asthma symptoms cough", US_national_yearly!$D:$AM, 35, FALSE) / VLOOKUP("electricity|SO2|Asthma symptoms cough", US_national_yearly!$D:$AM, 10, FALSE), 1)</f>
        <v>1.1453354078062084E-3</v>
      </c>
      <c r="AB6" s="7">
        <f>$B6 * IFERROR(VLOOKUP("electricity|SO2|Asthma symptoms cough", US_national_yearly!$D:$AM, 36, FALSE) / VLOOKUP("electricity|SO2|Asthma symptoms cough", US_national_yearly!$D:$AM, 10, FALSE), 1)</f>
        <v>1.1453354078062084E-3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1.5423608124336273E-3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1.5423608124336273E-3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1.5423608124336273E-3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1.5423608124336273E-3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1.5423608124336273E-3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1.5423608124336273E-3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1.5423608124336273E-3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1.5423608124336273E-3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1.5423608124336273E-3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1.5423608124336273E-3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1.5423608124336273E-3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1.5423608124336273E-3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1.5423608124336273E-3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1.5423608124336273E-3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1.5423608124336273E-3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1.5423608124336273E-3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1.5423608124336273E-3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1.5423608124336273E-3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1.5423608124336273E-3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1.5423608124336273E-3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1.5423608124336273E-3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1.5423608124336273E-3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1.5423608124336273E-3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1.5423608124336273E-3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1.5423608124336273E-3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1.5423608124336273E-3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1.5423608124336273E-3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2.3564641713656226E-3</v>
      </c>
      <c r="C8" s="7">
        <f>$B8 * IFERROR(VLOOKUP("electricity|SO2|Asthma symptoms wheeze", US_national_yearly!$D:$AM, 11, FALSE) / VLOOKUP("electricity|SO2|Asthma symptoms wheeze", US_national_yearly!$D:$AM, 10, FALSE), 1)</f>
        <v>2.3564641713656226E-3</v>
      </c>
      <c r="D8" s="7">
        <f>$B8 * IFERROR(VLOOKUP("electricity|SO2|Asthma symptoms wheeze", US_national_yearly!$D:$AM, 12, FALSE) / VLOOKUP("electricity|SO2|Asthma symptoms wheeze", US_national_yearly!$D:$AM, 10, FALSE), 1)</f>
        <v>2.3564641713656226E-3</v>
      </c>
      <c r="E8" s="7">
        <f>$B8 * IFERROR(VLOOKUP("electricity|SO2|Asthma symptoms wheeze", US_national_yearly!$D:$AM, 13, FALSE) / VLOOKUP("electricity|SO2|Asthma symptoms wheeze", US_national_yearly!$D:$AM, 10, FALSE), 1)</f>
        <v>2.3564641713656226E-3</v>
      </c>
      <c r="F8" s="7">
        <f>$B8 * IFERROR(VLOOKUP("electricity|SO2|Asthma symptoms wheeze", US_national_yearly!$D:$AM, 14, FALSE) / VLOOKUP("electricity|SO2|Asthma symptoms wheeze", US_national_yearly!$D:$AM, 10, FALSE), 1)</f>
        <v>2.3564641713656226E-3</v>
      </c>
      <c r="G8" s="7">
        <f>$B8 * IFERROR(VLOOKUP("electricity|SO2|Asthma symptoms wheeze", US_national_yearly!$D:$AM, 15, FALSE) / VLOOKUP("electricity|SO2|Asthma symptoms wheeze", US_national_yearly!$D:$AM, 10, FALSE), 1)</f>
        <v>2.3564641713656226E-3</v>
      </c>
      <c r="H8" s="7">
        <f>$B8 * IFERROR(VLOOKUP("electricity|SO2|Asthma symptoms wheeze", US_national_yearly!$D:$AM, 16, FALSE) / VLOOKUP("electricity|SO2|Asthma symptoms wheeze", US_national_yearly!$D:$AM, 10, FALSE), 1)</f>
        <v>2.3564641713656226E-3</v>
      </c>
      <c r="I8" s="7">
        <f>$B8 * IFERROR(VLOOKUP("electricity|SO2|Asthma symptoms wheeze", US_national_yearly!$D:$AM, 17, FALSE) / VLOOKUP("electricity|SO2|Asthma symptoms wheeze", US_national_yearly!$D:$AM, 10, FALSE), 1)</f>
        <v>2.3564641713656226E-3</v>
      </c>
      <c r="J8" s="7">
        <f>$B8 * IFERROR(VLOOKUP("electricity|SO2|Asthma symptoms wheeze", US_national_yearly!$D:$AM, 18, FALSE) / VLOOKUP("electricity|SO2|Asthma symptoms wheeze", US_national_yearly!$D:$AM, 10, FALSE), 1)</f>
        <v>2.3564641713656226E-3</v>
      </c>
      <c r="K8" s="7">
        <f>$B8 * IFERROR(VLOOKUP("electricity|SO2|Asthma symptoms wheeze", US_national_yearly!$D:$AM, 19, FALSE) / VLOOKUP("electricity|SO2|Asthma symptoms wheeze", US_national_yearly!$D:$AM, 10, FALSE), 1)</f>
        <v>2.3564641713656226E-3</v>
      </c>
      <c r="L8" s="7">
        <f>$B8 * IFERROR(VLOOKUP("electricity|SO2|Asthma symptoms wheeze", US_national_yearly!$D:$AM, 20, FALSE) / VLOOKUP("electricity|SO2|Asthma symptoms wheeze", US_national_yearly!$D:$AM, 10, FALSE), 1)</f>
        <v>2.3564641713656226E-3</v>
      </c>
      <c r="M8" s="7">
        <f>$B8 * IFERROR(VLOOKUP("electricity|SO2|Asthma symptoms wheeze", US_national_yearly!$D:$AM, 21, FALSE) / VLOOKUP("electricity|SO2|Asthma symptoms wheeze", US_national_yearly!$D:$AM, 10, FALSE), 1)</f>
        <v>2.3564641713656226E-3</v>
      </c>
      <c r="N8" s="7">
        <f>$B8 * IFERROR(VLOOKUP("electricity|SO2|Asthma symptoms wheeze", US_national_yearly!$D:$AM, 22, FALSE) / VLOOKUP("electricity|SO2|Asthma symptoms wheeze", US_national_yearly!$D:$AM, 10, FALSE), 1)</f>
        <v>2.3564641713656226E-3</v>
      </c>
      <c r="O8" s="7">
        <f>$B8 * IFERROR(VLOOKUP("electricity|SO2|Asthma symptoms wheeze", US_national_yearly!$D:$AM, 23, FALSE) / VLOOKUP("electricity|SO2|Asthma symptoms wheeze", US_national_yearly!$D:$AM, 10, FALSE), 1)</f>
        <v>2.3564641713656226E-3</v>
      </c>
      <c r="P8" s="7">
        <f>$B8 * IFERROR(VLOOKUP("electricity|SO2|Asthma symptoms wheeze", US_national_yearly!$D:$AM, 24, FALSE) / VLOOKUP("electricity|SO2|Asthma symptoms wheeze", US_national_yearly!$D:$AM, 10, FALSE), 1)</f>
        <v>2.3564641713656226E-3</v>
      </c>
      <c r="Q8" s="7">
        <f>$B8 * IFERROR(VLOOKUP("electricity|SO2|Asthma symptoms wheeze", US_national_yearly!$D:$AM, 25, FALSE) / VLOOKUP("electricity|SO2|Asthma symptoms wheeze", US_national_yearly!$D:$AM, 10, FALSE), 1)</f>
        <v>2.3564641713656226E-3</v>
      </c>
      <c r="R8" s="7">
        <f>$B8 * IFERROR(VLOOKUP("electricity|SO2|Asthma symptoms wheeze", US_national_yearly!$D:$AM, 26, FALSE) / VLOOKUP("electricity|SO2|Asthma symptoms wheeze", US_national_yearly!$D:$AM, 10, FALSE), 1)</f>
        <v>2.3564641713656226E-3</v>
      </c>
      <c r="S8" s="7">
        <f>$B8 * IFERROR(VLOOKUP("electricity|SO2|Asthma symptoms wheeze", US_national_yearly!$D:$AM, 27, FALSE) / VLOOKUP("electricity|SO2|Asthma symptoms wheeze", US_national_yearly!$D:$AM, 10, FALSE), 1)</f>
        <v>2.3564641713656226E-3</v>
      </c>
      <c r="T8" s="7">
        <f>$B8 * IFERROR(VLOOKUP("electricity|SO2|Asthma symptoms wheeze", US_national_yearly!$D:$AM, 28, FALSE) / VLOOKUP("electricity|SO2|Asthma symptoms wheeze", US_national_yearly!$D:$AM, 10, FALSE), 1)</f>
        <v>2.3564641713656226E-3</v>
      </c>
      <c r="U8" s="7">
        <f>$B8 * IFERROR(VLOOKUP("electricity|SO2|Asthma symptoms wheeze", US_national_yearly!$D:$AM, 29, FALSE) / VLOOKUP("electricity|SO2|Asthma symptoms wheeze", US_national_yearly!$D:$AM, 10, FALSE), 1)</f>
        <v>2.3564641713656226E-3</v>
      </c>
      <c r="V8" s="7">
        <f>$B8 * IFERROR(VLOOKUP("electricity|SO2|Asthma symptoms wheeze", US_national_yearly!$D:$AM, 30, FALSE) / VLOOKUP("electricity|SO2|Asthma symptoms wheeze", US_national_yearly!$D:$AM, 10, FALSE), 1)</f>
        <v>2.3564641713656226E-3</v>
      </c>
      <c r="W8" s="7">
        <f>$B8 * IFERROR(VLOOKUP("electricity|SO2|Asthma symptoms wheeze", US_national_yearly!$D:$AM, 31, FALSE) / VLOOKUP("electricity|SO2|Asthma symptoms wheeze", US_national_yearly!$D:$AM, 10, FALSE), 1)</f>
        <v>2.3564641713656226E-3</v>
      </c>
      <c r="X8" s="7">
        <f>$B8 * IFERROR(VLOOKUP("electricity|SO2|Asthma symptoms wheeze", US_national_yearly!$D:$AM, 32, FALSE) / VLOOKUP("electricity|SO2|Asthma symptoms wheeze", US_national_yearly!$D:$AM, 10, FALSE), 1)</f>
        <v>2.3564641713656226E-3</v>
      </c>
      <c r="Y8" s="7">
        <f>$B8 * IFERROR(VLOOKUP("electricity|SO2|Asthma symptoms wheeze", US_national_yearly!$D:$AM, 33, FALSE) / VLOOKUP("electricity|SO2|Asthma symptoms wheeze", US_national_yearly!$D:$AM, 10, FALSE), 1)</f>
        <v>2.3564641713656226E-3</v>
      </c>
      <c r="Z8" s="7">
        <f>$B8 * IFERROR(VLOOKUP("electricity|SO2|Asthma symptoms wheeze", US_national_yearly!$D:$AM, 34, FALSE) / VLOOKUP("electricity|SO2|Asthma symptoms wheeze", US_national_yearly!$D:$AM, 10, FALSE), 1)</f>
        <v>2.3564641713656226E-3</v>
      </c>
      <c r="AA8" s="7">
        <f>$B8 * IFERROR(VLOOKUP("electricity|SO2|Asthma symptoms wheeze", US_national_yearly!$D:$AM, 35, FALSE) / VLOOKUP("electricity|SO2|Asthma symptoms wheeze", US_national_yearly!$D:$AM, 10, FALSE), 1)</f>
        <v>2.3564641713656226E-3</v>
      </c>
      <c r="AB8" s="7">
        <f>$B8 * IFERROR(VLOOKUP("electricity|SO2|Asthma symptoms wheeze", US_national_yearly!$D:$AM, 36, FALSE) / VLOOKUP("electricity|SO2|Asthma symptoms wheeze", US_national_yearly!$D:$AM, 10, FALSE), 1)</f>
        <v>2.3564641713656226E-3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3.1180571007572459E-5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3.1364213062597872E-5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3.1547855117623291E-5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3.1731497172648704E-5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3.1915139227674124E-5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3.2115253160278948E-5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3.2315367092883785E-5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3.2507879620557584E-5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3.270039214823139E-5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3.2892904675905203E-5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3.3085417203579002E-5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3.3277929731252808E-5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3.3416011344265689E-5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3.3554092957278577E-5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3.3692174570291459E-5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3.383025618330434E-5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3.3968337796317228E-5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3.4098666513502977E-5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3.4228995230688725E-5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3.4359323947874474E-5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3.4489652665060229E-5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3.4619981382245984E-5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3.4745009231810703E-5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3.4870037081375436E-5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3.4995064930940168E-5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3.5120092780504887E-5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3.5245120630069619E-5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1.3105479544816867E-4</v>
      </c>
      <c r="C13" s="7">
        <f>$B13 * IFERROR(VLOOKUP("electricity|SO2|Non-fatal heart attacks", US_national_yearly!$D:$AM, 11, FALSE) / VLOOKUP("electricity|SO2|Non-fatal heart attacks", US_national_yearly!$D:$AM, 10, FALSE), 1)</f>
        <v>1.3491508908607125E-4</v>
      </c>
      <c r="D13" s="7">
        <f>$B13 * IFERROR(VLOOKUP("electricity|SO2|Non-fatal heart attacks", US_national_yearly!$D:$AM, 12, FALSE) / VLOOKUP("electricity|SO2|Non-fatal heart attacks", US_national_yearly!$D:$AM, 10, FALSE), 1)</f>
        <v>1.387753827239738E-4</v>
      </c>
      <c r="E13" s="7">
        <f>$B13 * IFERROR(VLOOKUP("electricity|SO2|Non-fatal heart attacks", US_national_yearly!$D:$AM, 13, FALSE) / VLOOKUP("electricity|SO2|Non-fatal heart attacks", US_national_yearly!$D:$AM, 10, FALSE), 1)</f>
        <v>1.4263567636187637E-4</v>
      </c>
      <c r="F13" s="7">
        <f>$B13 * IFERROR(VLOOKUP("electricity|SO2|Non-fatal heart attacks", US_national_yearly!$D:$AM, 14, FALSE) / VLOOKUP("electricity|SO2|Non-fatal heart attacks", US_national_yearly!$D:$AM, 10, FALSE), 1)</f>
        <v>1.4649596999977892E-4</v>
      </c>
      <c r="G13" s="7">
        <f>$B13 * IFERROR(VLOOKUP("electricity|SO2|Non-fatal heart attacks", US_national_yearly!$D:$AM, 15, FALSE) / VLOOKUP("electricity|SO2|Non-fatal heart attacks", US_national_yearly!$D:$AM, 10, FALSE), 1)</f>
        <v>1.5015950448278429E-4</v>
      </c>
      <c r="H13" s="7">
        <f>$B13 * IFERROR(VLOOKUP("electricity|SO2|Non-fatal heart attacks", US_national_yearly!$D:$AM, 16, FALSE) / VLOOKUP("electricity|SO2|Non-fatal heart attacks", US_national_yearly!$D:$AM, 10, FALSE), 1)</f>
        <v>1.538230389657897E-4</v>
      </c>
      <c r="I13" s="7">
        <f>$B13 * IFERROR(VLOOKUP("electricity|SO2|Non-fatal heart attacks", US_national_yearly!$D:$AM, 17, FALSE) / VLOOKUP("electricity|SO2|Non-fatal heart attacks", US_national_yearly!$D:$AM, 10, FALSE), 1)</f>
        <v>1.5680656846754791E-4</v>
      </c>
      <c r="J13" s="7">
        <f>$B13 * IFERROR(VLOOKUP("electricity|SO2|Non-fatal heart attacks", US_national_yearly!$D:$AM, 18, FALSE) / VLOOKUP("electricity|SO2|Non-fatal heart attacks", US_national_yearly!$D:$AM, 10, FALSE), 1)</f>
        <v>1.597900979693061E-4</v>
      </c>
      <c r="K13" s="7">
        <f>$B13 * IFERROR(VLOOKUP("electricity|SO2|Non-fatal heart attacks", US_national_yearly!$D:$AM, 19, FALSE) / VLOOKUP("electricity|SO2|Non-fatal heart attacks", US_national_yearly!$D:$AM, 10, FALSE), 1)</f>
        <v>1.6277362747106432E-4</v>
      </c>
      <c r="L13" s="7">
        <f>$B13 * IFERROR(VLOOKUP("electricity|SO2|Non-fatal heart attacks", US_national_yearly!$D:$AM, 20, FALSE) / VLOOKUP("electricity|SO2|Non-fatal heart attacks", US_national_yearly!$D:$AM, 10, FALSE), 1)</f>
        <v>1.6575715697282251E-4</v>
      </c>
      <c r="M13" s="7">
        <f>$B13 * IFERROR(VLOOKUP("electricity|SO2|Non-fatal heart attacks", US_national_yearly!$D:$AM, 21, FALSE) / VLOOKUP("electricity|SO2|Non-fatal heart attacks", US_national_yearly!$D:$AM, 10, FALSE), 1)</f>
        <v>1.6874068647458073E-4</v>
      </c>
      <c r="N13" s="7">
        <f>$B13 * IFERROR(VLOOKUP("electricity|SO2|Non-fatal heart attacks", US_national_yearly!$D:$AM, 22, FALSE) / VLOOKUP("electricity|SO2|Non-fatal heart attacks", US_national_yearly!$D:$AM, 10, FALSE), 1)</f>
        <v>1.7070818372105624E-4</v>
      </c>
      <c r="O13" s="7">
        <f>$B13 * IFERROR(VLOOKUP("electricity|SO2|Non-fatal heart attacks", US_national_yearly!$D:$AM, 23, FALSE) / VLOOKUP("electricity|SO2|Non-fatal heart attacks", US_national_yearly!$D:$AM, 10, FALSE), 1)</f>
        <v>1.7267568096753172E-4</v>
      </c>
      <c r="P13" s="7">
        <f>$B13 * IFERROR(VLOOKUP("electricity|SO2|Non-fatal heart attacks", US_national_yearly!$D:$AM, 24, FALSE) / VLOOKUP("electricity|SO2|Non-fatal heart attacks", US_national_yearly!$D:$AM, 10, FALSE), 1)</f>
        <v>1.7464317821400726E-4</v>
      </c>
      <c r="Q13" s="7">
        <f>$B13 * IFERROR(VLOOKUP("electricity|SO2|Non-fatal heart attacks", US_national_yearly!$D:$AM, 25, FALSE) / VLOOKUP("electricity|SO2|Non-fatal heart attacks", US_national_yearly!$D:$AM, 10, FALSE), 1)</f>
        <v>1.7661067546048277E-4</v>
      </c>
      <c r="R13" s="7">
        <f>$B13 * IFERROR(VLOOKUP("electricity|SO2|Non-fatal heart attacks", US_national_yearly!$D:$AM, 26, FALSE) / VLOOKUP("electricity|SO2|Non-fatal heart attacks", US_national_yearly!$D:$AM, 10, FALSE), 1)</f>
        <v>1.7857817270695828E-4</v>
      </c>
      <c r="S13" s="7">
        <f>$B13 * IFERROR(VLOOKUP("electricity|SO2|Non-fatal heart attacks", US_national_yearly!$D:$AM, 27, FALSE) / VLOOKUP("electricity|SO2|Non-fatal heart attacks", US_national_yearly!$D:$AM, 10, FALSE), 1)</f>
        <v>1.7964883788790896E-4</v>
      </c>
      <c r="T13" s="7">
        <f>$B13 * IFERROR(VLOOKUP("electricity|SO2|Non-fatal heart attacks", US_national_yearly!$D:$AM, 28, FALSE) / VLOOKUP("electricity|SO2|Non-fatal heart attacks", US_national_yearly!$D:$AM, 10, FALSE), 1)</f>
        <v>1.8071950306885963E-4</v>
      </c>
      <c r="U13" s="7">
        <f>$B13 * IFERROR(VLOOKUP("electricity|SO2|Non-fatal heart attacks", US_national_yearly!$D:$AM, 29, FALSE) / VLOOKUP("electricity|SO2|Non-fatal heart attacks", US_national_yearly!$D:$AM, 10, FALSE), 1)</f>
        <v>1.817901682498103E-4</v>
      </c>
      <c r="V13" s="7">
        <f>$B13 * IFERROR(VLOOKUP("electricity|SO2|Non-fatal heart attacks", US_national_yearly!$D:$AM, 30, FALSE) / VLOOKUP("electricity|SO2|Non-fatal heart attacks", US_national_yearly!$D:$AM, 10, FALSE), 1)</f>
        <v>1.8286083343076095E-4</v>
      </c>
      <c r="W13" s="7">
        <f>$B13 * IFERROR(VLOOKUP("electricity|SO2|Non-fatal heart attacks", US_national_yearly!$D:$AM, 31, FALSE) / VLOOKUP("electricity|SO2|Non-fatal heart attacks", US_national_yearly!$D:$AM, 10, FALSE), 1)</f>
        <v>1.8393149861171162E-4</v>
      </c>
      <c r="X13" s="7">
        <f>$B13 * IFERROR(VLOOKUP("electricity|SO2|Non-fatal heart attacks", US_national_yearly!$D:$AM, 32, FALSE) / VLOOKUP("electricity|SO2|Non-fatal heart attacks", US_national_yearly!$D:$AM, 10, FALSE), 1)</f>
        <v>1.8475394821386451E-4</v>
      </c>
      <c r="Y13" s="7">
        <f>$B13 * IFERROR(VLOOKUP("electricity|SO2|Non-fatal heart attacks", US_national_yearly!$D:$AM, 33, FALSE) / VLOOKUP("electricity|SO2|Non-fatal heart attacks", US_national_yearly!$D:$AM, 10, FALSE), 1)</f>
        <v>1.8557639781601739E-4</v>
      </c>
      <c r="Z13" s="7">
        <f>$B13 * IFERROR(VLOOKUP("electricity|SO2|Non-fatal heart attacks", US_national_yearly!$D:$AM, 34, FALSE) / VLOOKUP("electricity|SO2|Non-fatal heart attacks", US_national_yearly!$D:$AM, 10, FALSE), 1)</f>
        <v>1.8639884741817025E-4</v>
      </c>
      <c r="AA13" s="7">
        <f>$B13 * IFERROR(VLOOKUP("electricity|SO2|Non-fatal heart attacks", US_national_yearly!$D:$AM, 35, FALSE) / VLOOKUP("electricity|SO2|Non-fatal heart attacks", US_national_yearly!$D:$AM, 10, FALSE), 1)</f>
        <v>1.8722129702032311E-4</v>
      </c>
      <c r="AB13" s="7">
        <f>$B13 * IFERROR(VLOOKUP("electricity|SO2|Non-fatal heart attacks", US_national_yearly!$D:$AM, 36, FALSE) / VLOOKUP("electricity|SO2|Non-fatal heart attacks", US_national_yearly!$D:$AM, 10, FALSE), 1)</f>
        <v>1.8804374662247596E-4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0.1283583237776364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0.1286808821049531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0.1290034404322698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0.12932599875958656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0.12964855708690323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0.13011458413487298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0.13058061118284275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0.13137988345008589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0.13217915571732905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0.13297842798457218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0.13377770025181537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0.13457697251905851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0.13567768588388818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0.13677839924871785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0.13787911261354752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0.13897982597837721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0.14008053934320688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0.14120894407908774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0.1423373488149686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0.14346575355084942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0.14459415828673028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0.14572256302261113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0.14671543551991501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0.14770830801721888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0.14870118051452272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0.14969405301182659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0.15068692550913043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2.1761759677577874E-2</v>
      </c>
      <c r="C15" s="7">
        <f>$B15 * IFERROR(VLOOKUP("electricity|SO2|Work loss days", US_national_yearly!$D:$AM, 11, FALSE) / VLOOKUP("electricity|SO2|Work loss days", US_national_yearly!$D:$AM, 10, FALSE), 1)</f>
        <v>2.1832224913558514E-2</v>
      </c>
      <c r="D15" s="7">
        <f>$B15 * IFERROR(VLOOKUP("electricity|SO2|Work loss days", US_national_yearly!$D:$AM, 12, FALSE) / VLOOKUP("electricity|SO2|Work loss days", US_national_yearly!$D:$AM, 10, FALSE), 1)</f>
        <v>2.1902690149539151E-2</v>
      </c>
      <c r="E15" s="7">
        <f>$B15 * IFERROR(VLOOKUP("electricity|SO2|Work loss days", US_national_yearly!$D:$AM, 13, FALSE) / VLOOKUP("electricity|SO2|Work loss days", US_national_yearly!$D:$AM, 10, FALSE), 1)</f>
        <v>2.1973155385519798E-2</v>
      </c>
      <c r="F15" s="7">
        <f>$B15 * IFERROR(VLOOKUP("electricity|SO2|Work loss days", US_national_yearly!$D:$AM, 14, FALSE) / VLOOKUP("electricity|SO2|Work loss days", US_national_yearly!$D:$AM, 10, FALSE), 1)</f>
        <v>2.2043620621500434E-2</v>
      </c>
      <c r="G15" s="7">
        <f>$B15 * IFERROR(VLOOKUP("electricity|SO2|Work loss days", US_national_yearly!$D:$AM, 15, FALSE) / VLOOKUP("electricity|SO2|Work loss days", US_national_yearly!$D:$AM, 10, FALSE), 1)</f>
        <v>2.2133890955095884E-2</v>
      </c>
      <c r="H15" s="7">
        <f>$B15 * IFERROR(VLOOKUP("electricity|SO2|Work loss days", US_national_yearly!$D:$AM, 16, FALSE) / VLOOKUP("electricity|SO2|Work loss days", US_national_yearly!$D:$AM, 10, FALSE), 1)</f>
        <v>2.2224161288691334E-2</v>
      </c>
      <c r="I15" s="7">
        <f>$B15 * IFERROR(VLOOKUP("electricity|SO2|Work loss days", US_national_yearly!$D:$AM, 17, FALSE) / VLOOKUP("electricity|SO2|Work loss days", US_national_yearly!$D:$AM, 10, FALSE), 1)</f>
        <v>2.2356237405155865E-2</v>
      </c>
      <c r="J15" s="7">
        <f>$B15 * IFERROR(VLOOKUP("electricity|SO2|Work loss days", US_national_yearly!$D:$AM, 18, FALSE) / VLOOKUP("electricity|SO2|Work loss days", US_national_yearly!$D:$AM, 10, FALSE), 1)</f>
        <v>2.2488313521620385E-2</v>
      </c>
      <c r="K15" s="7">
        <f>$B15 * IFERROR(VLOOKUP("electricity|SO2|Work loss days", US_national_yearly!$D:$AM, 19, FALSE) / VLOOKUP("electricity|SO2|Work loss days", US_national_yearly!$D:$AM, 10, FALSE), 1)</f>
        <v>2.2620389638084919E-2</v>
      </c>
      <c r="L15" s="7">
        <f>$B15 * IFERROR(VLOOKUP("electricity|SO2|Work loss days", US_national_yearly!$D:$AM, 20, FALSE) / VLOOKUP("electricity|SO2|Work loss days", US_national_yearly!$D:$AM, 10, FALSE), 1)</f>
        <v>2.275246575454944E-2</v>
      </c>
      <c r="M15" s="7">
        <f>$B15 * IFERROR(VLOOKUP("electricity|SO2|Work loss days", US_national_yearly!$D:$AM, 21, FALSE) / VLOOKUP("electricity|SO2|Work loss days", US_national_yearly!$D:$AM, 10, FALSE), 1)</f>
        <v>2.2884541871013974E-2</v>
      </c>
      <c r="N15" s="7">
        <f>$B15 * IFERROR(VLOOKUP("electricity|SO2|Work loss days", US_national_yearly!$D:$AM, 22, FALSE) / VLOOKUP("electricity|SO2|Work loss days", US_national_yearly!$D:$AM, 10, FALSE), 1)</f>
        <v>2.3051651004911133E-2</v>
      </c>
      <c r="O15" s="7">
        <f>$B15 * IFERROR(VLOOKUP("electricity|SO2|Work loss days", US_national_yearly!$D:$AM, 23, FALSE) / VLOOKUP("electricity|SO2|Work loss days", US_national_yearly!$D:$AM, 10, FALSE), 1)</f>
        <v>2.3218760138808296E-2</v>
      </c>
      <c r="P15" s="7">
        <f>$B15 * IFERROR(VLOOKUP("electricity|SO2|Work loss days", US_national_yearly!$D:$AM, 24, FALSE) / VLOOKUP("electricity|SO2|Work loss days", US_national_yearly!$D:$AM, 10, FALSE), 1)</f>
        <v>2.3385869272705462E-2</v>
      </c>
      <c r="Q15" s="7">
        <f>$B15 * IFERROR(VLOOKUP("electricity|SO2|Work loss days", US_national_yearly!$D:$AM, 25, FALSE) / VLOOKUP("electricity|SO2|Work loss days", US_national_yearly!$D:$AM, 10, FALSE), 1)</f>
        <v>2.3552978406602622E-2</v>
      </c>
      <c r="R15" s="7">
        <f>$B15 * IFERROR(VLOOKUP("electricity|SO2|Work loss days", US_national_yearly!$D:$AM, 26, FALSE) / VLOOKUP("electricity|SO2|Work loss days", US_national_yearly!$D:$AM, 10, FALSE), 1)</f>
        <v>2.3720087540499788E-2</v>
      </c>
      <c r="S15" s="7">
        <f>$B15 * IFERROR(VLOOKUP("electricity|SO2|Work loss days", US_national_yearly!$D:$AM, 27, FALSE) / VLOOKUP("electricity|SO2|Work loss days", US_national_yearly!$D:$AM, 10, FALSE), 1)</f>
        <v>2.3907432473732133E-2</v>
      </c>
      <c r="T15" s="7">
        <f>$B15 * IFERROR(VLOOKUP("electricity|SO2|Work loss days", US_national_yearly!$D:$AM, 28, FALSE) / VLOOKUP("electricity|SO2|Work loss days", US_national_yearly!$D:$AM, 10, FALSE), 1)</f>
        <v>2.4094777406964481E-2</v>
      </c>
      <c r="U15" s="7">
        <f>$B15 * IFERROR(VLOOKUP("electricity|SO2|Work loss days", US_national_yearly!$D:$AM, 29, FALSE) / VLOOKUP("electricity|SO2|Work loss days", US_national_yearly!$D:$AM, 10, FALSE), 1)</f>
        <v>2.4282122340196829E-2</v>
      </c>
      <c r="V15" s="7">
        <f>$B15 * IFERROR(VLOOKUP("electricity|SO2|Work loss days", US_national_yearly!$D:$AM, 30, FALSE) / VLOOKUP("electricity|SO2|Work loss days", US_national_yearly!$D:$AM, 10, FALSE), 1)</f>
        <v>2.446946727342918E-2</v>
      </c>
      <c r="W15" s="7">
        <f>$B15 * IFERROR(VLOOKUP("electricity|SO2|Work loss days", US_national_yearly!$D:$AM, 31, FALSE) / VLOOKUP("electricity|SO2|Work loss days", US_national_yearly!$D:$AM, 10, FALSE), 1)</f>
        <v>2.4656812206661528E-2</v>
      </c>
      <c r="X15" s="7">
        <f>$B15 * IFERROR(VLOOKUP("electricity|SO2|Work loss days", US_national_yearly!$D:$AM, 32, FALSE) / VLOOKUP("electricity|SO2|Work loss days", US_national_yearly!$D:$AM, 10, FALSE), 1)</f>
        <v>2.4825591461989576E-2</v>
      </c>
      <c r="Y15" s="7">
        <f>$B15 * IFERROR(VLOOKUP("electricity|SO2|Work loss days", US_national_yearly!$D:$AM, 33, FALSE) / VLOOKUP("electricity|SO2|Work loss days", US_national_yearly!$D:$AM, 10, FALSE), 1)</f>
        <v>2.4994370717317624E-2</v>
      </c>
      <c r="Z15" s="7">
        <f>$B15 * IFERROR(VLOOKUP("electricity|SO2|Work loss days", US_national_yearly!$D:$AM, 34, FALSE) / VLOOKUP("electricity|SO2|Work loss days", US_national_yearly!$D:$AM, 10, FALSE), 1)</f>
        <v>2.5163149972645665E-2</v>
      </c>
      <c r="AA15" s="7">
        <f>$B15 * IFERROR(VLOOKUP("electricity|SO2|Work loss days", US_national_yearly!$D:$AM, 35, FALSE) / VLOOKUP("electricity|SO2|Work loss days", US_national_yearly!$D:$AM, 10, FALSE), 1)</f>
        <v>2.5331929227973712E-2</v>
      </c>
      <c r="AB15" s="7">
        <f>$B15 * IFERROR(VLOOKUP("electricity|SO2|Work loss days", US_national_yearly!$D:$AM, 36, FALSE) / VLOOKUP("electricity|SO2|Work loss days", US_national_yearly!$D:$AM, 10, FALSE), 1)</f>
        <v>2.5500708483301757E-2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3.7828325144600518E-5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3.8974628552492555E-5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4.0120931960384593E-5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4.1267235368276636E-5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4.2413538776168674E-5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4.3518502217147039E-5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4.4623465658125411E-5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4.5580077304191322E-5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4.6536688950257226E-5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4.7493300596323129E-5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4.8449912242389026E-5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4.940652388845493E-5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5.0059408786456938E-5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5.0712293684458939E-5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5.136517858246096E-5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5.2018063480462961E-5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5.2670948378464968E-5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5.3028871839988198E-5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5.3386795301511428E-5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5.3744718763034658E-5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5.4102642224557881E-5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5.4460565686081111E-5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5.4707635892424298E-5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5.4954706098767471E-5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5.5201776305110651E-5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5.5448846511453831E-5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5.5695916717797018E-5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9.4313407579665384E-3</v>
      </c>
      <c r="C2" s="7">
        <f>$B2 * IFERROR(VLOOKUP("buildings|PM25|Premature mortality", US_national_yearly!$D:$AM, 11, FALSE) / VLOOKUP("buildings|PM25|Premature mortality", US_national_yearly!$D:$AM, 10, FALSE), 1)</f>
        <v>9.5483534072251953E-3</v>
      </c>
      <c r="D2" s="7">
        <f>$B2 * IFERROR(VLOOKUP("buildings|PM25|Premature mortality", US_national_yearly!$D:$AM, 12, FALSE) / VLOOKUP("buildings|PM25|Premature mortality", US_national_yearly!$D:$AM, 10, FALSE), 1)</f>
        <v>9.6653660564838522E-3</v>
      </c>
      <c r="E2" s="7">
        <f>$B2 * IFERROR(VLOOKUP("buildings|PM25|Premature mortality", US_national_yearly!$D:$AM, 13, FALSE) / VLOOKUP("buildings|PM25|Premature mortality", US_national_yearly!$D:$AM, 10, FALSE), 1)</f>
        <v>9.7823787057425109E-3</v>
      </c>
      <c r="F2" s="7">
        <f>$B2 * IFERROR(VLOOKUP("buildings|PM25|Premature mortality", US_national_yearly!$D:$AM, 14, FALSE) / VLOOKUP("buildings|PM25|Premature mortality", US_national_yearly!$D:$AM, 10, FALSE), 1)</f>
        <v>9.8993913550011678E-3</v>
      </c>
      <c r="G2" s="7">
        <f>$B2 * IFERROR(VLOOKUP("buildings|PM25|Premature mortality", US_national_yearly!$D:$AM, 15, FALSE) / VLOOKUP("buildings|PM25|Premature mortality", US_national_yearly!$D:$AM, 10, FALSE), 1)</f>
        <v>1.0127238979017766E-2</v>
      </c>
      <c r="H2" s="7">
        <f>$B2 * IFERROR(VLOOKUP("buildings|PM25|Premature mortality", US_national_yearly!$D:$AM, 16, FALSE) / VLOOKUP("buildings|PM25|Premature mortality", US_national_yearly!$D:$AM, 10, FALSE), 1)</f>
        <v>1.0355086603034365E-2</v>
      </c>
      <c r="I2" s="7">
        <f>$B2 * IFERROR(VLOOKUP("buildings|PM25|Premature mortality", US_national_yearly!$D:$AM, 17, FALSE) / VLOOKUP("buildings|PM25|Premature mortality", US_national_yearly!$D:$AM, 10, FALSE), 1)</f>
        <v>1.050493806089451E-2</v>
      </c>
      <c r="J2" s="7">
        <f>$B2 * IFERROR(VLOOKUP("buildings|PM25|Premature mortality", US_national_yearly!$D:$AM, 18, FALSE) / VLOOKUP("buildings|PM25|Premature mortality", US_national_yearly!$D:$AM, 10, FALSE), 1)</f>
        <v>1.0654789518754653E-2</v>
      </c>
      <c r="K2" s="7">
        <f>$B2 * IFERROR(VLOOKUP("buildings|PM25|Premature mortality", US_national_yearly!$D:$AM, 19, FALSE) / VLOOKUP("buildings|PM25|Premature mortality", US_national_yearly!$D:$AM, 10, FALSE), 1)</f>
        <v>1.0804640976614797E-2</v>
      </c>
      <c r="L2" s="7">
        <f>$B2 * IFERROR(VLOOKUP("buildings|PM25|Premature mortality", US_national_yearly!$D:$AM, 20, FALSE) / VLOOKUP("buildings|PM25|Premature mortality", US_national_yearly!$D:$AM, 10, FALSE), 1)</f>
        <v>1.0954492434474942E-2</v>
      </c>
      <c r="M2" s="7">
        <f>$B2 * IFERROR(VLOOKUP("buildings|PM25|Premature mortality", US_national_yearly!$D:$AM, 21, FALSE) / VLOOKUP("buildings|PM25|Premature mortality", US_national_yearly!$D:$AM, 10, FALSE), 1)</f>
        <v>1.1104343892335085E-2</v>
      </c>
      <c r="N2" s="7">
        <f>$B2 * IFERROR(VLOOKUP("buildings|PM25|Premature mortality", US_national_yearly!$D:$AM, 22, FALSE) / VLOOKUP("buildings|PM25|Premature mortality", US_national_yearly!$D:$AM, 10, FALSE), 1)</f>
        <v>1.1220870055583931E-2</v>
      </c>
      <c r="O2" s="7">
        <f>$B2 * IFERROR(VLOOKUP("buildings|PM25|Premature mortality", US_national_yearly!$D:$AM, 23, FALSE) / VLOOKUP("buildings|PM25|Premature mortality", US_national_yearly!$D:$AM, 10, FALSE), 1)</f>
        <v>1.133739621883278E-2</v>
      </c>
      <c r="P2" s="7">
        <f>$B2 * IFERROR(VLOOKUP("buildings|PM25|Premature mortality", US_national_yearly!$D:$AM, 24, FALSE) / VLOOKUP("buildings|PM25|Premature mortality", US_national_yearly!$D:$AM, 10, FALSE), 1)</f>
        <v>1.1453922382081625E-2</v>
      </c>
      <c r="Q2" s="7">
        <f>$B2 * IFERROR(VLOOKUP("buildings|PM25|Premature mortality", US_national_yearly!$D:$AM, 25, FALSE) / VLOOKUP("buildings|PM25|Premature mortality", US_national_yearly!$D:$AM, 10, FALSE), 1)</f>
        <v>1.1570448545330476E-2</v>
      </c>
      <c r="R2" s="7">
        <f>$B2 * IFERROR(VLOOKUP("buildings|PM25|Premature mortality", US_national_yearly!$D:$AM, 26, FALSE) / VLOOKUP("buildings|PM25|Premature mortality", US_national_yearly!$D:$AM, 10, FALSE), 1)</f>
        <v>1.1686974708579323E-2</v>
      </c>
      <c r="S2" s="7">
        <f>$B2 * IFERROR(VLOOKUP("buildings|PM25|Premature mortality", US_national_yearly!$D:$AM, 27, FALSE) / VLOOKUP("buildings|PM25|Premature mortality", US_national_yearly!$D:$AM, 10, FALSE), 1)</f>
        <v>1.174890952178622E-2</v>
      </c>
      <c r="T2" s="7">
        <f>$B2 * IFERROR(VLOOKUP("buildings|PM25|Premature mortality", US_national_yearly!$D:$AM, 28, FALSE) / VLOOKUP("buildings|PM25|Premature mortality", US_national_yearly!$D:$AM, 10, FALSE), 1)</f>
        <v>1.1810844334993119E-2</v>
      </c>
      <c r="U2" s="7">
        <f>$B2 * IFERROR(VLOOKUP("buildings|PM25|Premature mortality", US_national_yearly!$D:$AM, 29, FALSE) / VLOOKUP("buildings|PM25|Premature mortality", US_national_yearly!$D:$AM, 10, FALSE), 1)</f>
        <v>1.1872779148200018E-2</v>
      </c>
      <c r="V2" s="7">
        <f>$B2 * IFERROR(VLOOKUP("buildings|PM25|Premature mortality", US_national_yearly!$D:$AM, 30, FALSE) / VLOOKUP("buildings|PM25|Premature mortality", US_national_yearly!$D:$AM, 10, FALSE), 1)</f>
        <v>1.1934713961406919E-2</v>
      </c>
      <c r="W2" s="7">
        <f>$B2 * IFERROR(VLOOKUP("buildings|PM25|Premature mortality", US_national_yearly!$D:$AM, 31, FALSE) / VLOOKUP("buildings|PM25|Premature mortality", US_national_yearly!$D:$AM, 10, FALSE), 1)</f>
        <v>1.1996648774613816E-2</v>
      </c>
      <c r="X2" s="7">
        <f>$B2 * IFERROR(VLOOKUP("buildings|PM25|Premature mortality", US_national_yearly!$D:$AM, 32, FALSE) / VLOOKUP("buildings|PM25|Premature mortality", US_national_yearly!$D:$AM, 10, FALSE), 1)</f>
        <v>1.2007765576361537E-2</v>
      </c>
      <c r="Y2" s="7">
        <f>$B2 * IFERROR(VLOOKUP("buildings|PM25|Premature mortality", US_national_yearly!$D:$AM, 33, FALSE) / VLOOKUP("buildings|PM25|Premature mortality", US_national_yearly!$D:$AM, 10, FALSE), 1)</f>
        <v>1.2018882378109254E-2</v>
      </c>
      <c r="Z2" s="7">
        <f>$B2 * IFERROR(VLOOKUP("buildings|PM25|Premature mortality", US_national_yearly!$D:$AM, 34, FALSE) / VLOOKUP("buildings|PM25|Premature mortality", US_national_yearly!$D:$AM, 10, FALSE), 1)</f>
        <v>1.2029999179856974E-2</v>
      </c>
      <c r="AA2" s="7">
        <f>$B2 * IFERROR(VLOOKUP("buildings|PM25|Premature mortality", US_national_yearly!$D:$AM, 35, FALSE) / VLOOKUP("buildings|PM25|Premature mortality", US_national_yearly!$D:$AM, 10, FALSE), 1)</f>
        <v>1.2041115981604695E-2</v>
      </c>
      <c r="AB2" s="7">
        <f>$B2 * IFERROR(VLOOKUP("buildings|PM25|Premature mortality", US_national_yearly!$D:$AM, 36, FALSE) / VLOOKUP("buildings|PM25|Premature mortality", US_national_yearly!$D:$AM, 10, FALSE), 1)</f>
        <v>1.2052232783352412E-2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3.085777932663434E-5</v>
      </c>
      <c r="C3" s="7">
        <f>$B3 * IFERROR(VLOOKUP("buildings|PM25|Infant mortality", US_national_yearly!$D:$AM, 11, FALSE) / VLOOKUP("buildings|PM25|Infant mortality", US_national_yearly!$D:$AM, 10, FALSE), 1)</f>
        <v>3.0590501040524266E-5</v>
      </c>
      <c r="D3" s="7">
        <f>$B3 * IFERROR(VLOOKUP("buildings|PM25|Infant mortality", US_national_yearly!$D:$AM, 12, FALSE) / VLOOKUP("buildings|PM25|Infant mortality", US_national_yearly!$D:$AM, 10, FALSE), 1)</f>
        <v>3.0323222754414199E-5</v>
      </c>
      <c r="E3" s="7">
        <f>$B3 * IFERROR(VLOOKUP("buildings|PM25|Infant mortality", US_national_yearly!$D:$AM, 13, FALSE) / VLOOKUP("buildings|PM25|Infant mortality", US_national_yearly!$D:$AM, 10, FALSE), 1)</f>
        <v>3.0055944468304128E-5</v>
      </c>
      <c r="F3" s="7">
        <f>$B3 * IFERROR(VLOOKUP("buildings|PM25|Infant mortality", US_national_yearly!$D:$AM, 14, FALSE) / VLOOKUP("buildings|PM25|Infant mortality", US_national_yearly!$D:$AM, 10, FALSE), 1)</f>
        <v>2.9788666182194061E-5</v>
      </c>
      <c r="G3" s="7">
        <f>$B3 * IFERROR(VLOOKUP("buildings|PM25|Infant mortality", US_national_yearly!$D:$AM, 15, FALSE) / VLOOKUP("buildings|PM25|Infant mortality", US_national_yearly!$D:$AM, 10, FALSE), 1)</f>
        <v>1.9808382302918991E-5</v>
      </c>
      <c r="H3" s="7">
        <f>$B3 * IFERROR(VLOOKUP("buildings|PM25|Infant mortality", US_national_yearly!$D:$AM, 16, FALSE) / VLOOKUP("buildings|PM25|Infant mortality", US_national_yearly!$D:$AM, 10, FALSE), 1)</f>
        <v>9.8280984236439262E-6</v>
      </c>
      <c r="I3" s="7">
        <f>$B3 * IFERROR(VLOOKUP("buildings|PM25|Infant mortality", US_national_yearly!$D:$AM, 17, FALSE) / VLOOKUP("buildings|PM25|Infant mortality", US_national_yearly!$D:$AM, 10, FALSE), 1)</f>
        <v>9.7640545477356793E-6</v>
      </c>
      <c r="J3" s="7">
        <f>$B3 * IFERROR(VLOOKUP("buildings|PM25|Infant mortality", US_national_yearly!$D:$AM, 18, FALSE) / VLOOKUP("buildings|PM25|Infant mortality", US_national_yearly!$D:$AM, 10, FALSE), 1)</f>
        <v>9.7000106718274306E-6</v>
      </c>
      <c r="K3" s="7">
        <f>$B3 * IFERROR(VLOOKUP("buildings|PM25|Infant mortality", US_national_yearly!$D:$AM, 19, FALSE) / VLOOKUP("buildings|PM25|Infant mortality", US_national_yearly!$D:$AM, 10, FALSE), 1)</f>
        <v>9.6359667959191837E-6</v>
      </c>
      <c r="L3" s="7">
        <f>$B3 * IFERROR(VLOOKUP("buildings|PM25|Infant mortality", US_national_yearly!$D:$AM, 20, FALSE) / VLOOKUP("buildings|PM25|Infant mortality", US_national_yearly!$D:$AM, 10, FALSE), 1)</f>
        <v>9.5719229200109368E-6</v>
      </c>
      <c r="M3" s="7">
        <f>$B3 * IFERROR(VLOOKUP("buildings|PM25|Infant mortality", US_national_yearly!$D:$AM, 21, FALSE) / VLOOKUP("buildings|PM25|Infant mortality", US_national_yearly!$D:$AM, 10, FALSE), 1)</f>
        <v>9.5078790441026882E-6</v>
      </c>
      <c r="N3" s="7">
        <f>$B3 * IFERROR(VLOOKUP("buildings|PM25|Infant mortality", US_national_yearly!$D:$AM, 22, FALSE) / VLOOKUP("buildings|PM25|Infant mortality", US_national_yearly!$D:$AM, 10, FALSE), 1)</f>
        <v>9.4678070657993966E-6</v>
      </c>
      <c r="O3" s="7">
        <f>$B3 * IFERROR(VLOOKUP("buildings|PM25|Infant mortality", US_national_yearly!$D:$AM, 23, FALSE) / VLOOKUP("buildings|PM25|Infant mortality", US_national_yearly!$D:$AM, 10, FALSE), 1)</f>
        <v>9.4277350874961049E-6</v>
      </c>
      <c r="P3" s="7">
        <f>$B3 * IFERROR(VLOOKUP("buildings|PM25|Infant mortality", US_national_yearly!$D:$AM, 24, FALSE) / VLOOKUP("buildings|PM25|Infant mortality", US_national_yearly!$D:$AM, 10, FALSE), 1)</f>
        <v>9.3876631091928116E-6</v>
      </c>
      <c r="Q3" s="7">
        <f>$B3 * IFERROR(VLOOKUP("buildings|PM25|Infant mortality", US_national_yearly!$D:$AM, 25, FALSE) / VLOOKUP("buildings|PM25|Infant mortality", US_national_yearly!$D:$AM, 10, FALSE), 1)</f>
        <v>9.34759113088952E-6</v>
      </c>
      <c r="R3" s="7">
        <f>$B3 * IFERROR(VLOOKUP("buildings|PM25|Infant mortality", US_national_yearly!$D:$AM, 26, FALSE) / VLOOKUP("buildings|PM25|Infant mortality", US_national_yearly!$D:$AM, 10, FALSE), 1)</f>
        <v>9.3075191525862267E-6</v>
      </c>
      <c r="S3" s="7">
        <f>$B3 * IFERROR(VLOOKUP("buildings|PM25|Infant mortality", US_national_yearly!$D:$AM, 27, FALSE) / VLOOKUP("buildings|PM25|Infant mortality", US_national_yearly!$D:$AM, 10, FALSE), 1)</f>
        <v>9.2574865322218792E-6</v>
      </c>
      <c r="T3" s="7">
        <f>$B3 * IFERROR(VLOOKUP("buildings|PM25|Infant mortality", US_national_yearly!$D:$AM, 28, FALSE) / VLOOKUP("buildings|PM25|Infant mortality", US_national_yearly!$D:$AM, 10, FALSE), 1)</f>
        <v>9.2074539118575316E-6</v>
      </c>
      <c r="U3" s="7">
        <f>$B3 * IFERROR(VLOOKUP("buildings|PM25|Infant mortality", US_national_yearly!$D:$AM, 29, FALSE) / VLOOKUP("buildings|PM25|Infant mortality", US_national_yearly!$D:$AM, 10, FALSE), 1)</f>
        <v>9.1574212914931807E-6</v>
      </c>
      <c r="V3" s="7">
        <f>$B3 * IFERROR(VLOOKUP("buildings|PM25|Infant mortality", US_national_yearly!$D:$AM, 30, FALSE) / VLOOKUP("buildings|PM25|Infant mortality", US_national_yearly!$D:$AM, 10, FALSE), 1)</f>
        <v>9.1073886711288349E-6</v>
      </c>
      <c r="W3" s="7">
        <f>$B3 * IFERROR(VLOOKUP("buildings|PM25|Infant mortality", US_national_yearly!$D:$AM, 31, FALSE) / VLOOKUP("buildings|PM25|Infant mortality", US_national_yearly!$D:$AM, 10, FALSE), 1)</f>
        <v>9.0573560507644857E-6</v>
      </c>
      <c r="X3" s="7">
        <f>$B3 * IFERROR(VLOOKUP("buildings|PM25|Infant mortality", US_national_yearly!$D:$AM, 32, FALSE) / VLOOKUP("buildings|PM25|Infant mortality", US_national_yearly!$D:$AM, 10, FALSE), 1)</f>
        <v>9.0034894930506138E-6</v>
      </c>
      <c r="Y3" s="7">
        <f>$B3 * IFERROR(VLOOKUP("buildings|PM25|Infant mortality", US_national_yearly!$D:$AM, 33, FALSE) / VLOOKUP("buildings|PM25|Infant mortality", US_national_yearly!$D:$AM, 10, FALSE), 1)</f>
        <v>8.9496229353367419E-6</v>
      </c>
      <c r="Z3" s="7">
        <f>$B3 * IFERROR(VLOOKUP("buildings|PM25|Infant mortality", US_national_yearly!$D:$AM, 34, FALSE) / VLOOKUP("buildings|PM25|Infant mortality", US_national_yearly!$D:$AM, 10, FALSE), 1)</f>
        <v>8.8957563776228683E-6</v>
      </c>
      <c r="AA3" s="7">
        <f>$B3 * IFERROR(VLOOKUP("buildings|PM25|Infant mortality", US_national_yearly!$D:$AM, 35, FALSE) / VLOOKUP("buildings|PM25|Infant mortality", US_national_yearly!$D:$AM, 10, FALSE), 1)</f>
        <v>8.8418898199089964E-6</v>
      </c>
      <c r="AB3" s="7">
        <f>$B3 * IFERROR(VLOOKUP("buildings|PM25|Infant mortality", US_national_yearly!$D:$AM, 36, FALSE) / VLOOKUP("buildings|PM25|Infant mortality", US_national_yearly!$D:$AM, 10, FALSE), 1)</f>
        <v>8.7880232621951245E-6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2.9669942541770071E-2</v>
      </c>
      <c r="C6" s="7">
        <f>$B6 * IFERROR(VLOOKUP("buildings|PM25|Asthma symptoms cough", US_national_yearly!$D:$AM, 11, FALSE) / VLOOKUP("buildings|PM25|Asthma symptoms cough", US_national_yearly!$D:$AM, 10, FALSE), 1)</f>
        <v>2.9669942541770071E-2</v>
      </c>
      <c r="D6" s="7">
        <f>$B6 * IFERROR(VLOOKUP("buildings|PM25|Asthma symptoms cough", US_national_yearly!$D:$AM, 12, FALSE) / VLOOKUP("buildings|PM25|Asthma symptoms cough", US_national_yearly!$D:$AM, 10, FALSE), 1)</f>
        <v>2.9669942541770071E-2</v>
      </c>
      <c r="E6" s="7">
        <f>$B6 * IFERROR(VLOOKUP("buildings|PM25|Asthma symptoms cough", US_national_yearly!$D:$AM, 13, FALSE) / VLOOKUP("buildings|PM25|Asthma symptoms cough", US_national_yearly!$D:$AM, 10, FALSE), 1)</f>
        <v>2.9669942541770071E-2</v>
      </c>
      <c r="F6" s="7">
        <f>$B6 * IFERROR(VLOOKUP("buildings|PM25|Asthma symptoms cough", US_national_yearly!$D:$AM, 14, FALSE) / VLOOKUP("buildings|PM25|Asthma symptoms cough", US_national_yearly!$D:$AM, 10, FALSE), 1)</f>
        <v>2.9669942541770071E-2</v>
      </c>
      <c r="G6" s="7">
        <f>$B6 * IFERROR(VLOOKUP("buildings|PM25|Asthma symptoms cough", US_national_yearly!$D:$AM, 15, FALSE) / VLOOKUP("buildings|PM25|Asthma symptoms cough", US_national_yearly!$D:$AM, 10, FALSE), 1)</f>
        <v>2.9669942541770071E-2</v>
      </c>
      <c r="H6" s="7">
        <f>$B6 * IFERROR(VLOOKUP("buildings|PM25|Asthma symptoms cough", US_national_yearly!$D:$AM, 16, FALSE) / VLOOKUP("buildings|PM25|Asthma symptoms cough", US_national_yearly!$D:$AM, 10, FALSE), 1)</f>
        <v>2.9669942541770071E-2</v>
      </c>
      <c r="I6" s="7">
        <f>$B6 * IFERROR(VLOOKUP("buildings|PM25|Asthma symptoms cough", US_national_yearly!$D:$AM, 17, FALSE) / VLOOKUP("buildings|PM25|Asthma symptoms cough", US_national_yearly!$D:$AM, 10, FALSE), 1)</f>
        <v>2.9669942541770071E-2</v>
      </c>
      <c r="J6" s="7">
        <f>$B6 * IFERROR(VLOOKUP("buildings|PM25|Asthma symptoms cough", US_national_yearly!$D:$AM, 18, FALSE) / VLOOKUP("buildings|PM25|Asthma symptoms cough", US_national_yearly!$D:$AM, 10, FALSE), 1)</f>
        <v>2.9669942541770071E-2</v>
      </c>
      <c r="K6" s="7">
        <f>$B6 * IFERROR(VLOOKUP("buildings|PM25|Asthma symptoms cough", US_national_yearly!$D:$AM, 19, FALSE) / VLOOKUP("buildings|PM25|Asthma symptoms cough", US_national_yearly!$D:$AM, 10, FALSE), 1)</f>
        <v>2.9669942541770071E-2</v>
      </c>
      <c r="L6" s="7">
        <f>$B6 * IFERROR(VLOOKUP("buildings|PM25|Asthma symptoms cough", US_national_yearly!$D:$AM, 20, FALSE) / VLOOKUP("buildings|PM25|Asthma symptoms cough", US_national_yearly!$D:$AM, 10, FALSE), 1)</f>
        <v>2.9669942541770071E-2</v>
      </c>
      <c r="M6" s="7">
        <f>$B6 * IFERROR(VLOOKUP("buildings|PM25|Asthma symptoms cough", US_national_yearly!$D:$AM, 21, FALSE) / VLOOKUP("buildings|PM25|Asthma symptoms cough", US_national_yearly!$D:$AM, 10, FALSE), 1)</f>
        <v>2.9669942541770071E-2</v>
      </c>
      <c r="N6" s="7">
        <f>$B6 * IFERROR(VLOOKUP("buildings|PM25|Asthma symptoms cough", US_national_yearly!$D:$AM, 22, FALSE) / VLOOKUP("buildings|PM25|Asthma symptoms cough", US_national_yearly!$D:$AM, 10, FALSE), 1)</f>
        <v>2.9669942541770071E-2</v>
      </c>
      <c r="O6" s="7">
        <f>$B6 * IFERROR(VLOOKUP("buildings|PM25|Asthma symptoms cough", US_national_yearly!$D:$AM, 23, FALSE) / VLOOKUP("buildings|PM25|Asthma symptoms cough", US_national_yearly!$D:$AM, 10, FALSE), 1)</f>
        <v>2.9669942541770071E-2</v>
      </c>
      <c r="P6" s="7">
        <f>$B6 * IFERROR(VLOOKUP("buildings|PM25|Asthma symptoms cough", US_national_yearly!$D:$AM, 24, FALSE) / VLOOKUP("buildings|PM25|Asthma symptoms cough", US_national_yearly!$D:$AM, 10, FALSE), 1)</f>
        <v>2.9669942541770071E-2</v>
      </c>
      <c r="Q6" s="7">
        <f>$B6 * IFERROR(VLOOKUP("buildings|PM25|Asthma symptoms cough", US_national_yearly!$D:$AM, 25, FALSE) / VLOOKUP("buildings|PM25|Asthma symptoms cough", US_national_yearly!$D:$AM, 10, FALSE), 1)</f>
        <v>2.9669942541770071E-2</v>
      </c>
      <c r="R6" s="7">
        <f>$B6 * IFERROR(VLOOKUP("buildings|PM25|Asthma symptoms cough", US_national_yearly!$D:$AM, 26, FALSE) / VLOOKUP("buildings|PM25|Asthma symptoms cough", US_national_yearly!$D:$AM, 10, FALSE), 1)</f>
        <v>2.9669942541770071E-2</v>
      </c>
      <c r="S6" s="7">
        <f>$B6 * IFERROR(VLOOKUP("buildings|PM25|Asthma symptoms cough", US_national_yearly!$D:$AM, 27, FALSE) / VLOOKUP("buildings|PM25|Asthma symptoms cough", US_national_yearly!$D:$AM, 10, FALSE), 1)</f>
        <v>2.9669942541770071E-2</v>
      </c>
      <c r="T6" s="7">
        <f>$B6 * IFERROR(VLOOKUP("buildings|PM25|Asthma symptoms cough", US_national_yearly!$D:$AM, 28, FALSE) / VLOOKUP("buildings|PM25|Asthma symptoms cough", US_national_yearly!$D:$AM, 10, FALSE), 1)</f>
        <v>2.9669942541770071E-2</v>
      </c>
      <c r="U6" s="7">
        <f>$B6 * IFERROR(VLOOKUP("buildings|PM25|Asthma symptoms cough", US_national_yearly!$D:$AM, 29, FALSE) / VLOOKUP("buildings|PM25|Asthma symptoms cough", US_national_yearly!$D:$AM, 10, FALSE), 1)</f>
        <v>2.9669942541770071E-2</v>
      </c>
      <c r="V6" s="7">
        <f>$B6 * IFERROR(VLOOKUP("buildings|PM25|Asthma symptoms cough", US_national_yearly!$D:$AM, 30, FALSE) / VLOOKUP("buildings|PM25|Asthma symptoms cough", US_national_yearly!$D:$AM, 10, FALSE), 1)</f>
        <v>2.9669942541770071E-2</v>
      </c>
      <c r="W6" s="7">
        <f>$B6 * IFERROR(VLOOKUP("buildings|PM25|Asthma symptoms cough", US_national_yearly!$D:$AM, 31, FALSE) / VLOOKUP("buildings|PM25|Asthma symptoms cough", US_national_yearly!$D:$AM, 10, FALSE), 1)</f>
        <v>2.9669942541770071E-2</v>
      </c>
      <c r="X6" s="7">
        <f>$B6 * IFERROR(VLOOKUP("buildings|PM25|Asthma symptoms cough", US_national_yearly!$D:$AM, 32, FALSE) / VLOOKUP("buildings|PM25|Asthma symptoms cough", US_national_yearly!$D:$AM, 10, FALSE), 1)</f>
        <v>2.9669942541770071E-2</v>
      </c>
      <c r="Y6" s="7">
        <f>$B6 * IFERROR(VLOOKUP("buildings|PM25|Asthma symptoms cough", US_national_yearly!$D:$AM, 33, FALSE) / VLOOKUP("buildings|PM25|Asthma symptoms cough", US_national_yearly!$D:$AM, 10, FALSE), 1)</f>
        <v>2.9669942541770071E-2</v>
      </c>
      <c r="Z6" s="7">
        <f>$B6 * IFERROR(VLOOKUP("buildings|PM25|Asthma symptoms cough", US_national_yearly!$D:$AM, 34, FALSE) / VLOOKUP("buildings|PM25|Asthma symptoms cough", US_national_yearly!$D:$AM, 10, FALSE), 1)</f>
        <v>2.9669942541770071E-2</v>
      </c>
      <c r="AA6" s="7">
        <f>$B6 * IFERROR(VLOOKUP("buildings|PM25|Asthma symptoms cough", US_national_yearly!$D:$AM, 35, FALSE) / VLOOKUP("buildings|PM25|Asthma symptoms cough", US_national_yearly!$D:$AM, 10, FALSE), 1)</f>
        <v>2.9669942541770071E-2</v>
      </c>
      <c r="AB6" s="7">
        <f>$B6 * IFERROR(VLOOKUP("buildings|PM25|Asthma symptoms cough", US_national_yearly!$D:$AM, 36, FALSE) / VLOOKUP("buildings|PM25|Asthma symptoms cough", US_national_yearly!$D:$AM, 10, FALSE), 1)</f>
        <v>2.9669942541770071E-2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3.9954925288169622E-2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3.9954925288169622E-2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3.9954925288169622E-2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3.9954925288169622E-2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3.9954925288169622E-2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3.9954925288169622E-2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3.9954925288169622E-2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3.9954925288169622E-2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3.9954925288169622E-2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3.9954925288169622E-2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3.9954925288169622E-2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3.9954925288169622E-2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3.9954925288169622E-2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3.9954925288169622E-2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3.9954925288169622E-2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3.9954925288169622E-2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3.9954925288169622E-2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3.9954925288169622E-2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3.9954925288169622E-2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3.9954925288169622E-2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3.9954925288169622E-2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3.9954925288169622E-2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3.9954925288169622E-2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3.9954925288169622E-2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3.9954925288169622E-2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3.9954925288169622E-2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3.9954925288169622E-2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6.10442030813775E-2</v>
      </c>
      <c r="C8" s="7">
        <f>$B8 * IFERROR(VLOOKUP("buildings|PM25|Asthma symptoms wheeze", US_national_yearly!$D:$AM, 11, FALSE) / VLOOKUP("buildings|PM25|Asthma symptoms wheeze", US_national_yearly!$D:$AM, 10, FALSE), 1)</f>
        <v>6.10442030813775E-2</v>
      </c>
      <c r="D8" s="7">
        <f>$B8 * IFERROR(VLOOKUP("buildings|PM25|Asthma symptoms wheeze", US_national_yearly!$D:$AM, 12, FALSE) / VLOOKUP("buildings|PM25|Asthma symptoms wheeze", US_national_yearly!$D:$AM, 10, FALSE), 1)</f>
        <v>6.10442030813775E-2</v>
      </c>
      <c r="E8" s="7">
        <f>$B8 * IFERROR(VLOOKUP("buildings|PM25|Asthma symptoms wheeze", US_national_yearly!$D:$AM, 13, FALSE) / VLOOKUP("buildings|PM25|Asthma symptoms wheeze", US_national_yearly!$D:$AM, 10, FALSE), 1)</f>
        <v>6.10442030813775E-2</v>
      </c>
      <c r="F8" s="7">
        <f>$B8 * IFERROR(VLOOKUP("buildings|PM25|Asthma symptoms wheeze", US_national_yearly!$D:$AM, 14, FALSE) / VLOOKUP("buildings|PM25|Asthma symptoms wheeze", US_national_yearly!$D:$AM, 10, FALSE), 1)</f>
        <v>6.10442030813775E-2</v>
      </c>
      <c r="G8" s="7">
        <f>$B8 * IFERROR(VLOOKUP("buildings|PM25|Asthma symptoms wheeze", US_national_yearly!$D:$AM, 15, FALSE) / VLOOKUP("buildings|PM25|Asthma symptoms wheeze", US_national_yearly!$D:$AM, 10, FALSE), 1)</f>
        <v>6.10442030813775E-2</v>
      </c>
      <c r="H8" s="7">
        <f>$B8 * IFERROR(VLOOKUP("buildings|PM25|Asthma symptoms wheeze", US_national_yearly!$D:$AM, 16, FALSE) / VLOOKUP("buildings|PM25|Asthma symptoms wheeze", US_national_yearly!$D:$AM, 10, FALSE), 1)</f>
        <v>6.10442030813775E-2</v>
      </c>
      <c r="I8" s="7">
        <f>$B8 * IFERROR(VLOOKUP("buildings|PM25|Asthma symptoms wheeze", US_national_yearly!$D:$AM, 17, FALSE) / VLOOKUP("buildings|PM25|Asthma symptoms wheeze", US_national_yearly!$D:$AM, 10, FALSE), 1)</f>
        <v>6.10442030813775E-2</v>
      </c>
      <c r="J8" s="7">
        <f>$B8 * IFERROR(VLOOKUP("buildings|PM25|Asthma symptoms wheeze", US_national_yearly!$D:$AM, 18, FALSE) / VLOOKUP("buildings|PM25|Asthma symptoms wheeze", US_national_yearly!$D:$AM, 10, FALSE), 1)</f>
        <v>6.10442030813775E-2</v>
      </c>
      <c r="K8" s="7">
        <f>$B8 * IFERROR(VLOOKUP("buildings|PM25|Asthma symptoms wheeze", US_national_yearly!$D:$AM, 19, FALSE) / VLOOKUP("buildings|PM25|Asthma symptoms wheeze", US_national_yearly!$D:$AM, 10, FALSE), 1)</f>
        <v>6.10442030813775E-2</v>
      </c>
      <c r="L8" s="7">
        <f>$B8 * IFERROR(VLOOKUP("buildings|PM25|Asthma symptoms wheeze", US_national_yearly!$D:$AM, 20, FALSE) / VLOOKUP("buildings|PM25|Asthma symptoms wheeze", US_national_yearly!$D:$AM, 10, FALSE), 1)</f>
        <v>6.10442030813775E-2</v>
      </c>
      <c r="M8" s="7">
        <f>$B8 * IFERROR(VLOOKUP("buildings|PM25|Asthma symptoms wheeze", US_national_yearly!$D:$AM, 21, FALSE) / VLOOKUP("buildings|PM25|Asthma symptoms wheeze", US_national_yearly!$D:$AM, 10, FALSE), 1)</f>
        <v>6.10442030813775E-2</v>
      </c>
      <c r="N8" s="7">
        <f>$B8 * IFERROR(VLOOKUP("buildings|PM25|Asthma symptoms wheeze", US_national_yearly!$D:$AM, 22, FALSE) / VLOOKUP("buildings|PM25|Asthma symptoms wheeze", US_national_yearly!$D:$AM, 10, FALSE), 1)</f>
        <v>6.10442030813775E-2</v>
      </c>
      <c r="O8" s="7">
        <f>$B8 * IFERROR(VLOOKUP("buildings|PM25|Asthma symptoms wheeze", US_national_yearly!$D:$AM, 23, FALSE) / VLOOKUP("buildings|PM25|Asthma symptoms wheeze", US_national_yearly!$D:$AM, 10, FALSE), 1)</f>
        <v>6.10442030813775E-2</v>
      </c>
      <c r="P8" s="7">
        <f>$B8 * IFERROR(VLOOKUP("buildings|PM25|Asthma symptoms wheeze", US_national_yearly!$D:$AM, 24, FALSE) / VLOOKUP("buildings|PM25|Asthma symptoms wheeze", US_national_yearly!$D:$AM, 10, FALSE), 1)</f>
        <v>6.10442030813775E-2</v>
      </c>
      <c r="Q8" s="7">
        <f>$B8 * IFERROR(VLOOKUP("buildings|PM25|Asthma symptoms wheeze", US_national_yearly!$D:$AM, 25, FALSE) / VLOOKUP("buildings|PM25|Asthma symptoms wheeze", US_national_yearly!$D:$AM, 10, FALSE), 1)</f>
        <v>6.10442030813775E-2</v>
      </c>
      <c r="R8" s="7">
        <f>$B8 * IFERROR(VLOOKUP("buildings|PM25|Asthma symptoms wheeze", US_national_yearly!$D:$AM, 26, FALSE) / VLOOKUP("buildings|PM25|Asthma symptoms wheeze", US_national_yearly!$D:$AM, 10, FALSE), 1)</f>
        <v>6.10442030813775E-2</v>
      </c>
      <c r="S8" s="7">
        <f>$B8 * IFERROR(VLOOKUP("buildings|PM25|Asthma symptoms wheeze", US_national_yearly!$D:$AM, 27, FALSE) / VLOOKUP("buildings|PM25|Asthma symptoms wheeze", US_national_yearly!$D:$AM, 10, FALSE), 1)</f>
        <v>6.10442030813775E-2</v>
      </c>
      <c r="T8" s="7">
        <f>$B8 * IFERROR(VLOOKUP("buildings|PM25|Asthma symptoms wheeze", US_national_yearly!$D:$AM, 28, FALSE) / VLOOKUP("buildings|PM25|Asthma symptoms wheeze", US_national_yearly!$D:$AM, 10, FALSE), 1)</f>
        <v>6.10442030813775E-2</v>
      </c>
      <c r="U8" s="7">
        <f>$B8 * IFERROR(VLOOKUP("buildings|PM25|Asthma symptoms wheeze", US_national_yearly!$D:$AM, 29, FALSE) / VLOOKUP("buildings|PM25|Asthma symptoms wheeze", US_national_yearly!$D:$AM, 10, FALSE), 1)</f>
        <v>6.10442030813775E-2</v>
      </c>
      <c r="V8" s="7">
        <f>$B8 * IFERROR(VLOOKUP("buildings|PM25|Asthma symptoms wheeze", US_national_yearly!$D:$AM, 30, FALSE) / VLOOKUP("buildings|PM25|Asthma symptoms wheeze", US_national_yearly!$D:$AM, 10, FALSE), 1)</f>
        <v>6.10442030813775E-2</v>
      </c>
      <c r="W8" s="7">
        <f>$B8 * IFERROR(VLOOKUP("buildings|PM25|Asthma symptoms wheeze", US_national_yearly!$D:$AM, 31, FALSE) / VLOOKUP("buildings|PM25|Asthma symptoms wheeze", US_national_yearly!$D:$AM, 10, FALSE), 1)</f>
        <v>6.10442030813775E-2</v>
      </c>
      <c r="X8" s="7">
        <f>$B8 * IFERROR(VLOOKUP("buildings|PM25|Asthma symptoms wheeze", US_national_yearly!$D:$AM, 32, FALSE) / VLOOKUP("buildings|PM25|Asthma symptoms wheeze", US_national_yearly!$D:$AM, 10, FALSE), 1)</f>
        <v>6.10442030813775E-2</v>
      </c>
      <c r="Y8" s="7">
        <f>$B8 * IFERROR(VLOOKUP("buildings|PM25|Asthma symptoms wheeze", US_national_yearly!$D:$AM, 33, FALSE) / VLOOKUP("buildings|PM25|Asthma symptoms wheeze", US_national_yearly!$D:$AM, 10, FALSE), 1)</f>
        <v>6.10442030813775E-2</v>
      </c>
      <c r="Z8" s="7">
        <f>$B8 * IFERROR(VLOOKUP("buildings|PM25|Asthma symptoms wheeze", US_national_yearly!$D:$AM, 34, FALSE) / VLOOKUP("buildings|PM25|Asthma symptoms wheeze", US_national_yearly!$D:$AM, 10, FALSE), 1)</f>
        <v>6.10442030813775E-2</v>
      </c>
      <c r="AA8" s="7">
        <f>$B8 * IFERROR(VLOOKUP("buildings|PM25|Asthma symptoms wheeze", US_national_yearly!$D:$AM, 35, FALSE) / VLOOKUP("buildings|PM25|Asthma symptoms wheeze", US_national_yearly!$D:$AM, 10, FALSE), 1)</f>
        <v>6.10442030813775E-2</v>
      </c>
      <c r="AB8" s="7">
        <f>$B8 * IFERROR(VLOOKUP("buildings|PM25|Asthma symptoms wheeze", US_national_yearly!$D:$AM, 36, FALSE) / VLOOKUP("buildings|PM25|Asthma symptoms wheeze", US_national_yearly!$D:$AM, 10, FALSE), 1)</f>
        <v>6.10442030813775E-2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7.2884695843244583E-4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7.3304815348426765E-4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7.3724934853608968E-4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7.4145054358791161E-4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7.4565173863973364E-4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7.5018521733435787E-4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7.547186960289821E-4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7.590304442222388E-4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7.633421924154954E-4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7.6765394060875189E-4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7.7196568880200859E-4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7.7627743699526519E-4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7.7937875197786144E-4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7.8248006696045769E-4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7.8558138194305405E-4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7.8868269692565008E-4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7.9178401190824644E-4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7.9473886080925322E-4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7.9769370971026043E-4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8.0064855861126732E-4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8.0360340751227421E-4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8.0655825641328131E-4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8.0941217205502943E-4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8.1226608769677754E-4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8.1512000333852554E-4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8.1797391898027377E-4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8.2082783462202177E-4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3.1692552726061414E-3</v>
      </c>
      <c r="C13" s="7">
        <f>$B13 * IFERROR(VLOOKUP("buildings|PM25|Non-fatal heart attacks", US_national_yearly!$D:$AM, 11, FALSE) / VLOOKUP("buildings|PM25|Non-fatal heart attacks", US_national_yearly!$D:$AM, 10, FALSE), 1)</f>
        <v>3.2614375467949603E-3</v>
      </c>
      <c r="D13" s="7">
        <f>$B13 * IFERROR(VLOOKUP("buildings|PM25|Non-fatal heart attacks", US_national_yearly!$D:$AM, 12, FALSE) / VLOOKUP("buildings|PM25|Non-fatal heart attacks", US_national_yearly!$D:$AM, 10, FALSE), 1)</f>
        <v>3.3536198209837783E-3</v>
      </c>
      <c r="E13" s="7">
        <f>$B13 * IFERROR(VLOOKUP("buildings|PM25|Non-fatal heart attacks", US_national_yearly!$D:$AM, 13, FALSE) / VLOOKUP("buildings|PM25|Non-fatal heart attacks", US_national_yearly!$D:$AM, 10, FALSE), 1)</f>
        <v>3.4458020951725963E-3</v>
      </c>
      <c r="F13" s="7">
        <f>$B13 * IFERROR(VLOOKUP("buildings|PM25|Non-fatal heart attacks", US_national_yearly!$D:$AM, 14, FALSE) / VLOOKUP("buildings|PM25|Non-fatal heart attacks", US_national_yearly!$D:$AM, 10, FALSE), 1)</f>
        <v>3.5379843693614152E-3</v>
      </c>
      <c r="G13" s="7">
        <f>$B13 * IFERROR(VLOOKUP("buildings|PM25|Non-fatal heart attacks", US_national_yearly!$D:$AM, 15, FALSE) / VLOOKUP("buildings|PM25|Non-fatal heart attacks", US_national_yearly!$D:$AM, 10, FALSE), 1)</f>
        <v>3.6249636100646443E-3</v>
      </c>
      <c r="H13" s="7">
        <f>$B13 * IFERROR(VLOOKUP("buildings|PM25|Non-fatal heart attacks", US_national_yearly!$D:$AM, 16, FALSE) / VLOOKUP("buildings|PM25|Non-fatal heart attacks", US_national_yearly!$D:$AM, 10, FALSE), 1)</f>
        <v>3.7119428507678717E-3</v>
      </c>
      <c r="I13" s="7">
        <f>$B13 * IFERROR(VLOOKUP("buildings|PM25|Non-fatal heart attacks", US_national_yearly!$D:$AM, 17, FALSE) / VLOOKUP("buildings|PM25|Non-fatal heart attacks", US_national_yearly!$D:$AM, 10, FALSE), 1)</f>
        <v>3.7819244054904857E-3</v>
      </c>
      <c r="J13" s="7">
        <f>$B13 * IFERROR(VLOOKUP("buildings|PM25|Non-fatal heart attacks", US_national_yearly!$D:$AM, 18, FALSE) / VLOOKUP("buildings|PM25|Non-fatal heart attacks", US_national_yearly!$D:$AM, 10, FALSE), 1)</f>
        <v>3.8519059602130997E-3</v>
      </c>
      <c r="K13" s="7">
        <f>$B13 * IFERROR(VLOOKUP("buildings|PM25|Non-fatal heart attacks", US_national_yearly!$D:$AM, 19, FALSE) / VLOOKUP("buildings|PM25|Non-fatal heart attacks", US_national_yearly!$D:$AM, 10, FALSE), 1)</f>
        <v>3.9218875149357128E-3</v>
      </c>
      <c r="L13" s="7">
        <f>$B13 * IFERROR(VLOOKUP("buildings|PM25|Non-fatal heart attacks", US_national_yearly!$D:$AM, 20, FALSE) / VLOOKUP("buildings|PM25|Non-fatal heart attacks", US_national_yearly!$D:$AM, 10, FALSE), 1)</f>
        <v>3.9918690696583263E-3</v>
      </c>
      <c r="M13" s="7">
        <f>$B13 * IFERROR(VLOOKUP("buildings|PM25|Non-fatal heart attacks", US_national_yearly!$D:$AM, 21, FALSE) / VLOOKUP("buildings|PM25|Non-fatal heart attacks", US_national_yearly!$D:$AM, 10, FALSE), 1)</f>
        <v>4.0618506243809398E-3</v>
      </c>
      <c r="N13" s="7">
        <f>$B13 * IFERROR(VLOOKUP("buildings|PM25|Non-fatal heart attacks", US_national_yearly!$D:$AM, 22, FALSE) / VLOOKUP("buildings|PM25|Non-fatal heart attacks", US_national_yearly!$D:$AM, 10, FALSE), 1)</f>
        <v>4.107059802073096E-3</v>
      </c>
      <c r="O13" s="7">
        <f>$B13 * IFERROR(VLOOKUP("buildings|PM25|Non-fatal heart attacks", US_national_yearly!$D:$AM, 23, FALSE) / VLOOKUP("buildings|PM25|Non-fatal heart attacks", US_national_yearly!$D:$AM, 10, FALSE), 1)</f>
        <v>4.1522689797652513E-3</v>
      </c>
      <c r="P13" s="7">
        <f>$B13 * IFERROR(VLOOKUP("buildings|PM25|Non-fatal heart attacks", US_national_yearly!$D:$AM, 24, FALSE) / VLOOKUP("buildings|PM25|Non-fatal heart attacks", US_national_yearly!$D:$AM, 10, FALSE), 1)</f>
        <v>4.1974781574574066E-3</v>
      </c>
      <c r="Q13" s="7">
        <f>$B13 * IFERROR(VLOOKUP("buildings|PM25|Non-fatal heart attacks", US_national_yearly!$D:$AM, 25, FALSE) / VLOOKUP("buildings|PM25|Non-fatal heart attacks", US_national_yearly!$D:$AM, 10, FALSE), 1)</f>
        <v>4.2426873351495628E-3</v>
      </c>
      <c r="R13" s="7">
        <f>$B13 * IFERROR(VLOOKUP("buildings|PM25|Non-fatal heart attacks", US_national_yearly!$D:$AM, 26, FALSE) / VLOOKUP("buildings|PM25|Non-fatal heart attacks", US_national_yearly!$D:$AM, 10, FALSE), 1)</f>
        <v>4.2878965128417181E-3</v>
      </c>
      <c r="S13" s="7">
        <f>$B13 * IFERROR(VLOOKUP("buildings|PM25|Non-fatal heart attacks", US_national_yearly!$D:$AM, 27, FALSE) / VLOOKUP("buildings|PM25|Non-fatal heart attacks", US_national_yearly!$D:$AM, 10, FALSE), 1)</f>
        <v>4.3118080783040545E-3</v>
      </c>
      <c r="T13" s="7">
        <f>$B13 * IFERROR(VLOOKUP("buildings|PM25|Non-fatal heart attacks", US_national_yearly!$D:$AM, 28, FALSE) / VLOOKUP("buildings|PM25|Non-fatal heart attacks", US_national_yearly!$D:$AM, 10, FALSE), 1)</f>
        <v>4.3357196437663918E-3</v>
      </c>
      <c r="U13" s="7">
        <f>$B13 * IFERROR(VLOOKUP("buildings|PM25|Non-fatal heart attacks", US_national_yearly!$D:$AM, 29, FALSE) / VLOOKUP("buildings|PM25|Non-fatal heart attacks", US_national_yearly!$D:$AM, 10, FALSE), 1)</f>
        <v>4.3596312092287282E-3</v>
      </c>
      <c r="V13" s="7">
        <f>$B13 * IFERROR(VLOOKUP("buildings|PM25|Non-fatal heart attacks", US_national_yearly!$D:$AM, 30, FALSE) / VLOOKUP("buildings|PM25|Non-fatal heart attacks", US_national_yearly!$D:$AM, 10, FALSE), 1)</f>
        <v>4.3835427746910646E-3</v>
      </c>
      <c r="W13" s="7">
        <f>$B13 * IFERROR(VLOOKUP("buildings|PM25|Non-fatal heart attacks", US_national_yearly!$D:$AM, 31, FALSE) / VLOOKUP("buildings|PM25|Non-fatal heart attacks", US_national_yearly!$D:$AM, 10, FALSE), 1)</f>
        <v>4.4074543401534019E-3</v>
      </c>
      <c r="X13" s="7">
        <f>$B13 * IFERROR(VLOOKUP("buildings|PM25|Non-fatal heart attacks", US_national_yearly!$D:$AM, 32, FALSE) / VLOOKUP("buildings|PM25|Non-fatal heart attacks", US_national_yearly!$D:$AM, 10, FALSE), 1)</f>
        <v>4.4256527879308755E-3</v>
      </c>
      <c r="Y13" s="7">
        <f>$B13 * IFERROR(VLOOKUP("buildings|PM25|Non-fatal heart attacks", US_national_yearly!$D:$AM, 33, FALSE) / VLOOKUP("buildings|PM25|Non-fatal heart attacks", US_national_yearly!$D:$AM, 10, FALSE), 1)</f>
        <v>4.4438512357083499E-3</v>
      </c>
      <c r="Z13" s="7">
        <f>$B13 * IFERROR(VLOOKUP("buildings|PM25|Non-fatal heart attacks", US_national_yearly!$D:$AM, 34, FALSE) / VLOOKUP("buildings|PM25|Non-fatal heart attacks", US_national_yearly!$D:$AM, 10, FALSE), 1)</f>
        <v>4.4620496834858227E-3</v>
      </c>
      <c r="AA13" s="7">
        <f>$B13 * IFERROR(VLOOKUP("buildings|PM25|Non-fatal heart attacks", US_national_yearly!$D:$AM, 35, FALSE) / VLOOKUP("buildings|PM25|Non-fatal heart attacks", US_national_yearly!$D:$AM, 10, FALSE), 1)</f>
        <v>4.4802481312632971E-3</v>
      </c>
      <c r="AB13" s="7">
        <f>$B13 * IFERROR(VLOOKUP("buildings|PM25|Non-fatal heart attacks", US_national_yearly!$D:$AM, 36, FALSE) / VLOOKUP("buildings|PM25|Non-fatal heart attacks", US_national_yearly!$D:$AM, 10, FALSE), 1)</f>
        <v>4.4984465790407716E-3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3.3139941535674127</v>
      </c>
      <c r="C14" s="7">
        <f>$B14 * IFERROR(VLOOKUP("buildings|PM25|Minor restricted activity days", US_national_yearly!$D:$AM, 11, FALSE) / VLOOKUP("buildings|PM25|Minor restricted activity days", US_national_yearly!$D:$AM, 10, FALSE), 1)</f>
        <v>3.3222362428179872</v>
      </c>
      <c r="D14" s="7">
        <f>$B14 * IFERROR(VLOOKUP("buildings|PM25|Minor restricted activity days", US_national_yearly!$D:$AM, 12, FALSE) / VLOOKUP("buildings|PM25|Minor restricted activity days", US_national_yearly!$D:$AM, 10, FALSE), 1)</f>
        <v>3.3304783320685623</v>
      </c>
      <c r="E14" s="7">
        <f>$B14 * IFERROR(VLOOKUP("buildings|PM25|Minor restricted activity days", US_national_yearly!$D:$AM, 13, FALSE) / VLOOKUP("buildings|PM25|Minor restricted activity days", US_national_yearly!$D:$AM, 10, FALSE), 1)</f>
        <v>3.3387204213191368</v>
      </c>
      <c r="F14" s="7">
        <f>$B14 * IFERROR(VLOOKUP("buildings|PM25|Minor restricted activity days", US_national_yearly!$D:$AM, 14, FALSE) / VLOOKUP("buildings|PM25|Minor restricted activity days", US_national_yearly!$D:$AM, 10, FALSE), 1)</f>
        <v>3.3469625105697109</v>
      </c>
      <c r="G14" s="7">
        <f>$B14 * IFERROR(VLOOKUP("buildings|PM25|Minor restricted activity days", US_national_yearly!$D:$AM, 15, FALSE) / VLOOKUP("buildings|PM25|Minor restricted activity days", US_national_yearly!$D:$AM, 10, FALSE), 1)</f>
        <v>3.3590511530230636</v>
      </c>
      <c r="H14" s="7">
        <f>$B14 * IFERROR(VLOOKUP("buildings|PM25|Minor restricted activity days", US_national_yearly!$D:$AM, 16, FALSE) / VLOOKUP("buildings|PM25|Minor restricted activity days", US_national_yearly!$D:$AM, 10, FALSE), 1)</f>
        <v>3.3711397954764144</v>
      </c>
      <c r="I14" s="7">
        <f>$B14 * IFERROR(VLOOKUP("buildings|PM25|Minor restricted activity days", US_national_yearly!$D:$AM, 17, FALSE) / VLOOKUP("buildings|PM25|Minor restricted activity days", US_national_yearly!$D:$AM, 10, FALSE), 1)</f>
        <v>3.3916959142528236</v>
      </c>
      <c r="J14" s="7">
        <f>$B14 * IFERROR(VLOOKUP("buildings|PM25|Minor restricted activity days", US_national_yearly!$D:$AM, 18, FALSE) / VLOOKUP("buildings|PM25|Minor restricted activity days", US_national_yearly!$D:$AM, 10, FALSE), 1)</f>
        <v>3.4122520330292341</v>
      </c>
      <c r="K14" s="7">
        <f>$B14 * IFERROR(VLOOKUP("buildings|PM25|Minor restricted activity days", US_national_yearly!$D:$AM, 19, FALSE) / VLOOKUP("buildings|PM25|Minor restricted activity days", US_national_yearly!$D:$AM, 10, FALSE), 1)</f>
        <v>3.4328081518056419</v>
      </c>
      <c r="L14" s="7">
        <f>$B14 * IFERROR(VLOOKUP("buildings|PM25|Minor restricted activity days", US_national_yearly!$D:$AM, 20, FALSE) / VLOOKUP("buildings|PM25|Minor restricted activity days", US_national_yearly!$D:$AM, 10, FALSE), 1)</f>
        <v>3.4533642705820502</v>
      </c>
      <c r="M14" s="7">
        <f>$B14 * IFERROR(VLOOKUP("buildings|PM25|Minor restricted activity days", US_national_yearly!$D:$AM, 21, FALSE) / VLOOKUP("buildings|PM25|Minor restricted activity days", US_national_yearly!$D:$AM, 10, FALSE), 1)</f>
        <v>3.4739203893584585</v>
      </c>
      <c r="N14" s="7">
        <f>$B14 * IFERROR(VLOOKUP("buildings|PM25|Minor restricted activity days", US_national_yearly!$D:$AM, 22, FALSE) / VLOOKUP("buildings|PM25|Minor restricted activity days", US_national_yearly!$D:$AM, 10, FALSE), 1)</f>
        <v>3.5018511953304259</v>
      </c>
      <c r="O14" s="7">
        <f>$B14 * IFERROR(VLOOKUP("buildings|PM25|Minor restricted activity days", US_national_yearly!$D:$AM, 23, FALSE) / VLOOKUP("buildings|PM25|Minor restricted activity days", US_national_yearly!$D:$AM, 10, FALSE), 1)</f>
        <v>3.5297820013023924</v>
      </c>
      <c r="P14" s="7">
        <f>$B14 * IFERROR(VLOOKUP("buildings|PM25|Minor restricted activity days", US_national_yearly!$D:$AM, 24, FALSE) / VLOOKUP("buildings|PM25|Minor restricted activity days", US_national_yearly!$D:$AM, 10, FALSE), 1)</f>
        <v>3.5577128072743589</v>
      </c>
      <c r="Q14" s="7">
        <f>$B14 * IFERROR(VLOOKUP("buildings|PM25|Minor restricted activity days", US_national_yearly!$D:$AM, 25, FALSE) / VLOOKUP("buildings|PM25|Minor restricted activity days", US_national_yearly!$D:$AM, 10, FALSE), 1)</f>
        <v>3.5856436132463254</v>
      </c>
      <c r="R14" s="7">
        <f>$B14 * IFERROR(VLOOKUP("buildings|PM25|Minor restricted activity days", US_national_yearly!$D:$AM, 26, FALSE) / VLOOKUP("buildings|PM25|Minor restricted activity days", US_national_yearly!$D:$AM, 10, FALSE), 1)</f>
        <v>3.6135744192182919</v>
      </c>
      <c r="S14" s="7">
        <f>$B14 * IFERROR(VLOOKUP("buildings|PM25|Minor restricted activity days", US_national_yearly!$D:$AM, 27, FALSE) / VLOOKUP("buildings|PM25|Minor restricted activity days", US_national_yearly!$D:$AM, 10, FALSE), 1)</f>
        <v>3.6416783139057891</v>
      </c>
      <c r="T14" s="7">
        <f>$B14 * IFERROR(VLOOKUP("buildings|PM25|Minor restricted activity days", US_national_yearly!$D:$AM, 28, FALSE) / VLOOKUP("buildings|PM25|Minor restricted activity days", US_national_yearly!$D:$AM, 10, FALSE), 1)</f>
        <v>3.6697822085932859</v>
      </c>
      <c r="U14" s="7">
        <f>$B14 * IFERROR(VLOOKUP("buildings|PM25|Minor restricted activity days", US_national_yearly!$D:$AM, 29, FALSE) / VLOOKUP("buildings|PM25|Minor restricted activity days", US_national_yearly!$D:$AM, 10, FALSE), 1)</f>
        <v>3.697886103280783</v>
      </c>
      <c r="V14" s="7">
        <f>$B14 * IFERROR(VLOOKUP("buildings|PM25|Minor restricted activity days", US_national_yearly!$D:$AM, 30, FALSE) / VLOOKUP("buildings|PM25|Minor restricted activity days", US_national_yearly!$D:$AM, 10, FALSE), 1)</f>
        <v>3.7259899979682798</v>
      </c>
      <c r="W14" s="7">
        <f>$B14 * IFERROR(VLOOKUP("buildings|PM25|Minor restricted activity days", US_national_yearly!$D:$AM, 31, FALSE) / VLOOKUP("buildings|PM25|Minor restricted activity days", US_national_yearly!$D:$AM, 10, FALSE), 1)</f>
        <v>3.7540938926557774</v>
      </c>
      <c r="X14" s="7">
        <f>$B14 * IFERROR(VLOOKUP("buildings|PM25|Minor restricted activity days", US_national_yearly!$D:$AM, 32, FALSE) / VLOOKUP("buildings|PM25|Minor restricted activity days", US_national_yearly!$D:$AM, 10, FALSE), 1)</f>
        <v>3.778496661523798</v>
      </c>
      <c r="Y14" s="7">
        <f>$B14 * IFERROR(VLOOKUP("buildings|PM25|Minor restricted activity days", US_national_yearly!$D:$AM, 33, FALSE) / VLOOKUP("buildings|PM25|Minor restricted activity days", US_national_yearly!$D:$AM, 10, FALSE), 1)</f>
        <v>3.8028994303918182</v>
      </c>
      <c r="Z14" s="7">
        <f>$B14 * IFERROR(VLOOKUP("buildings|PM25|Minor restricted activity days", US_national_yearly!$D:$AM, 34, FALSE) / VLOOKUP("buildings|PM25|Minor restricted activity days", US_national_yearly!$D:$AM, 10, FALSE), 1)</f>
        <v>3.8273021992598375</v>
      </c>
      <c r="AA14" s="7">
        <f>$B14 * IFERROR(VLOOKUP("buildings|PM25|Minor restricted activity days", US_national_yearly!$D:$AM, 35, FALSE) / VLOOKUP("buildings|PM25|Minor restricted activity days", US_national_yearly!$D:$AM, 10, FALSE), 1)</f>
        <v>3.8517049681278577</v>
      </c>
      <c r="AB14" s="7">
        <f>$B14 * IFERROR(VLOOKUP("buildings|PM25|Minor restricted activity days", US_national_yearly!$D:$AM, 36, FALSE) / VLOOKUP("buildings|PM25|Minor restricted activity days", US_national_yearly!$D:$AM, 10, FALSE), 1)</f>
        <v>3.8761077369958774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0.56370623301903255</v>
      </c>
      <c r="C15" s="7">
        <f>$B15 * IFERROR(VLOOKUP("buildings|PM25|Work loss days", US_national_yearly!$D:$AM, 11, FALSE) / VLOOKUP("buildings|PM25|Work loss days", US_national_yearly!$D:$AM, 10, FALSE), 1)</f>
        <v>0.56547526474719945</v>
      </c>
      <c r="D15" s="7">
        <f>$B15 * IFERROR(VLOOKUP("buildings|PM25|Work loss days", US_national_yearly!$D:$AM, 12, FALSE) / VLOOKUP("buildings|PM25|Work loss days", US_national_yearly!$D:$AM, 10, FALSE), 1)</f>
        <v>0.56724429647536612</v>
      </c>
      <c r="E15" s="7">
        <f>$B15 * IFERROR(VLOOKUP("buildings|PM25|Work loss days", US_national_yearly!$D:$AM, 13, FALSE) / VLOOKUP("buildings|PM25|Work loss days", US_national_yearly!$D:$AM, 10, FALSE), 1)</f>
        <v>0.5690133282035329</v>
      </c>
      <c r="F15" s="7">
        <f>$B15 * IFERROR(VLOOKUP("buildings|PM25|Work loss days", US_national_yearly!$D:$AM, 14, FALSE) / VLOOKUP("buildings|PM25|Work loss days", US_national_yearly!$D:$AM, 10, FALSE), 1)</f>
        <v>0.57078235993169968</v>
      </c>
      <c r="G15" s="7">
        <f>$B15 * IFERROR(VLOOKUP("buildings|PM25|Work loss days", US_national_yearly!$D:$AM, 15, FALSE) / VLOOKUP("buildings|PM25|Work loss days", US_national_yearly!$D:$AM, 10, FALSE), 1)</f>
        <v>0.57309464293066636</v>
      </c>
      <c r="H15" s="7">
        <f>$B15 * IFERROR(VLOOKUP("buildings|PM25|Work loss days", US_national_yearly!$D:$AM, 16, FALSE) / VLOOKUP("buildings|PM25|Work loss days", US_national_yearly!$D:$AM, 10, FALSE), 1)</f>
        <v>0.57540692592963305</v>
      </c>
      <c r="I15" s="7">
        <f>$B15 * IFERROR(VLOOKUP("buildings|PM25|Work loss days", US_national_yearly!$D:$AM, 17, FALSE) / VLOOKUP("buildings|PM25|Work loss days", US_national_yearly!$D:$AM, 10, FALSE), 1)</f>
        <v>0.57880289805838614</v>
      </c>
      <c r="J15" s="7">
        <f>$B15 * IFERROR(VLOOKUP("buildings|PM25|Work loss days", US_national_yearly!$D:$AM, 18, FALSE) / VLOOKUP("buildings|PM25|Work loss days", US_national_yearly!$D:$AM, 10, FALSE), 1)</f>
        <v>0.58219887018713934</v>
      </c>
      <c r="K15" s="7">
        <f>$B15 * IFERROR(VLOOKUP("buildings|PM25|Work loss days", US_national_yearly!$D:$AM, 19, FALSE) / VLOOKUP("buildings|PM25|Work loss days", US_national_yearly!$D:$AM, 10, FALSE), 1)</f>
        <v>0.58559484231589243</v>
      </c>
      <c r="L15" s="7">
        <f>$B15 * IFERROR(VLOOKUP("buildings|PM25|Work loss days", US_national_yearly!$D:$AM, 20, FALSE) / VLOOKUP("buildings|PM25|Work loss days", US_national_yearly!$D:$AM, 10, FALSE), 1)</f>
        <v>0.58899081444464563</v>
      </c>
      <c r="M15" s="7">
        <f>$B15 * IFERROR(VLOOKUP("buildings|PM25|Work loss days", US_national_yearly!$D:$AM, 21, FALSE) / VLOOKUP("buildings|PM25|Work loss days", US_national_yearly!$D:$AM, 10, FALSE), 1)</f>
        <v>0.59238678657339894</v>
      </c>
      <c r="N15" s="7">
        <f>$B15 * IFERROR(VLOOKUP("buildings|PM25|Work loss days", US_national_yearly!$D:$AM, 22, FALSE) / VLOOKUP("buildings|PM25|Work loss days", US_national_yearly!$D:$AM, 10, FALSE), 1)</f>
        <v>0.59665642492681215</v>
      </c>
      <c r="O15" s="7">
        <f>$B15 * IFERROR(VLOOKUP("buildings|PM25|Work loss days", US_national_yearly!$D:$AM, 23, FALSE) / VLOOKUP("buildings|PM25|Work loss days", US_national_yearly!$D:$AM, 10, FALSE), 1)</f>
        <v>0.60092606328022546</v>
      </c>
      <c r="P15" s="7">
        <f>$B15 * IFERROR(VLOOKUP("buildings|PM25|Work loss days", US_national_yearly!$D:$AM, 24, FALSE) / VLOOKUP("buildings|PM25|Work loss days", US_national_yearly!$D:$AM, 10, FALSE), 1)</f>
        <v>0.60519570163363867</v>
      </c>
      <c r="Q15" s="7">
        <f>$B15 * IFERROR(VLOOKUP("buildings|PM25|Work loss days", US_national_yearly!$D:$AM, 25, FALSE) / VLOOKUP("buildings|PM25|Work loss days", US_national_yearly!$D:$AM, 10, FALSE), 1)</f>
        <v>0.60946533998705199</v>
      </c>
      <c r="R15" s="7">
        <f>$B15 * IFERROR(VLOOKUP("buildings|PM25|Work loss days", US_national_yearly!$D:$AM, 26, FALSE) / VLOOKUP("buildings|PM25|Work loss days", US_national_yearly!$D:$AM, 10, FALSE), 1)</f>
        <v>0.61373497834046531</v>
      </c>
      <c r="S15" s="7">
        <f>$B15 * IFERROR(VLOOKUP("buildings|PM25|Work loss days", US_national_yearly!$D:$AM, 27, FALSE) / VLOOKUP("buildings|PM25|Work loss days", US_national_yearly!$D:$AM, 10, FALSE), 1)</f>
        <v>0.61845132454702512</v>
      </c>
      <c r="T15" s="7">
        <f>$B15 * IFERROR(VLOOKUP("buildings|PM25|Work loss days", US_national_yearly!$D:$AM, 28, FALSE) / VLOOKUP("buildings|PM25|Work loss days", US_national_yearly!$D:$AM, 10, FALSE), 1)</f>
        <v>0.62316767075358515</v>
      </c>
      <c r="U15" s="7">
        <f>$B15 * IFERROR(VLOOKUP("buildings|PM25|Work loss days", US_national_yearly!$D:$AM, 29, FALSE) / VLOOKUP("buildings|PM25|Work loss days", US_national_yearly!$D:$AM, 10, FALSE), 1)</f>
        <v>0.62788401696014506</v>
      </c>
      <c r="V15" s="7">
        <f>$B15 * IFERROR(VLOOKUP("buildings|PM25|Work loss days", US_national_yearly!$D:$AM, 30, FALSE) / VLOOKUP("buildings|PM25|Work loss days", US_national_yearly!$D:$AM, 10, FALSE), 1)</f>
        <v>0.63260036316670487</v>
      </c>
      <c r="W15" s="7">
        <f>$B15 * IFERROR(VLOOKUP("buildings|PM25|Work loss days", US_national_yearly!$D:$AM, 31, FALSE) / VLOOKUP("buildings|PM25|Work loss days", US_national_yearly!$D:$AM, 10, FALSE), 1)</f>
        <v>0.6373167093732649</v>
      </c>
      <c r="X15" s="7">
        <f>$B15 * IFERROR(VLOOKUP("buildings|PM25|Work loss days", US_national_yearly!$D:$AM, 32, FALSE) / VLOOKUP("buildings|PM25|Work loss days", US_national_yearly!$D:$AM, 10, FALSE), 1)</f>
        <v>0.64150201711941002</v>
      </c>
      <c r="Y15" s="7">
        <f>$B15 * IFERROR(VLOOKUP("buildings|PM25|Work loss days", US_national_yearly!$D:$AM, 33, FALSE) / VLOOKUP("buildings|PM25|Work loss days", US_national_yearly!$D:$AM, 10, FALSE), 1)</f>
        <v>0.64568732486555525</v>
      </c>
      <c r="Z15" s="7">
        <f>$B15 * IFERROR(VLOOKUP("buildings|PM25|Work loss days", US_national_yearly!$D:$AM, 34, FALSE) / VLOOKUP("buildings|PM25|Work loss days", US_national_yearly!$D:$AM, 10, FALSE), 1)</f>
        <v>0.64987263261170025</v>
      </c>
      <c r="AA15" s="7">
        <f>$B15 * IFERROR(VLOOKUP("buildings|PM25|Work loss days", US_national_yearly!$D:$AM, 35, FALSE) / VLOOKUP("buildings|PM25|Work loss days", US_national_yearly!$D:$AM, 10, FALSE), 1)</f>
        <v>0.65405794035784548</v>
      </c>
      <c r="AB15" s="7">
        <f>$B15 * IFERROR(VLOOKUP("buildings|PM25|Work loss days", US_national_yearly!$D:$AM, 36, FALSE) / VLOOKUP("buildings|PM25|Work loss days", US_national_yearly!$D:$AM, 10, FALSE), 1)</f>
        <v>0.6582432481039906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9.1079293215297645E-4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9.3801320549925132E-4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9.6523347884552608E-4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9.9245375219180073E-4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1.0196740255380755E-3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1.0457551677709623E-3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1.071836310003849E-3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1.0941641674317645E-3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1.11649202485968E-3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1.1388198822875957E-3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1.1611477397155115E-3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1.1834755971434272E-3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1.1983850417922608E-3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1.2132944864410944E-3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1.228203931089928E-3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1.2431133757387618E-3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1.2580228203875952E-3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1.2659451989148519E-3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1.2738675774421086E-3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1.2817899559693653E-3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1.2897123344966217E-3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1.2976347130238786E-3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1.3029914807243565E-3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1.3083482484248338E-3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1.3137050161253117E-3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1.3190617838257893E-3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1.3244185515262669E-3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4.2583801043674055E-4</v>
      </c>
      <c r="C2" s="7">
        <f>$B2 * IFERROR(VLOOKUP("buildings|NOx|Premature mortality", US_national_yearly!$D:$AM, 11, FALSE) / VLOOKUP("buildings|NOx|Premature mortality", US_national_yearly!$D:$AM, 10, FALSE), 1)</f>
        <v>4.3210152714092521E-4</v>
      </c>
      <c r="D2" s="7">
        <f>$B2 * IFERROR(VLOOKUP("buildings|NOx|Premature mortality", US_national_yearly!$D:$AM, 12, FALSE) / VLOOKUP("buildings|NOx|Premature mortality", US_national_yearly!$D:$AM, 10, FALSE), 1)</f>
        <v>4.3836504384510969E-4</v>
      </c>
      <c r="E2" s="7">
        <f>$B2 * IFERROR(VLOOKUP("buildings|NOx|Premature mortality", US_national_yearly!$D:$AM, 13, FALSE) / VLOOKUP("buildings|NOx|Premature mortality", US_national_yearly!$D:$AM, 10, FALSE), 1)</f>
        <v>4.4462856054929435E-4</v>
      </c>
      <c r="F2" s="7">
        <f>$B2 * IFERROR(VLOOKUP("buildings|NOx|Premature mortality", US_national_yearly!$D:$AM, 14, FALSE) / VLOOKUP("buildings|NOx|Premature mortality", US_national_yearly!$D:$AM, 10, FALSE), 1)</f>
        <v>4.5089207725347889E-4</v>
      </c>
      <c r="G2" s="7">
        <f>$B2 * IFERROR(VLOOKUP("buildings|NOx|Premature mortality", US_national_yearly!$D:$AM, 15, FALSE) / VLOOKUP("buildings|NOx|Premature mortality", US_national_yearly!$D:$AM, 10, FALSE), 1)</f>
        <v>4.6213735945001592E-4</v>
      </c>
      <c r="H2" s="7">
        <f>$B2 * IFERROR(VLOOKUP("buildings|NOx|Premature mortality", US_national_yearly!$D:$AM, 16, FALSE) / VLOOKUP("buildings|NOx|Premature mortality", US_national_yearly!$D:$AM, 10, FALSE), 1)</f>
        <v>4.7338264164655306E-4</v>
      </c>
      <c r="I2" s="7">
        <f>$B2 * IFERROR(VLOOKUP("buildings|NOx|Premature mortality", US_national_yearly!$D:$AM, 17, FALSE) / VLOOKUP("buildings|NOx|Premature mortality", US_national_yearly!$D:$AM, 10, FALSE), 1)</f>
        <v>4.8064994876125325E-4</v>
      </c>
      <c r="J2" s="7">
        <f>$B2 * IFERROR(VLOOKUP("buildings|NOx|Premature mortality", US_national_yearly!$D:$AM, 18, FALSE) / VLOOKUP("buildings|NOx|Premature mortality", US_national_yearly!$D:$AM, 10, FALSE), 1)</f>
        <v>4.8791725587595333E-4</v>
      </c>
      <c r="K2" s="7">
        <f>$B2 * IFERROR(VLOOKUP("buildings|NOx|Premature mortality", US_national_yearly!$D:$AM, 19, FALSE) / VLOOKUP("buildings|NOx|Premature mortality", US_national_yearly!$D:$AM, 10, FALSE), 1)</f>
        <v>4.9518456299065352E-4</v>
      </c>
      <c r="L2" s="7">
        <f>$B2 * IFERROR(VLOOKUP("buildings|NOx|Premature mortality", US_national_yearly!$D:$AM, 20, FALSE) / VLOOKUP("buildings|NOx|Premature mortality", US_national_yearly!$D:$AM, 10, FALSE), 1)</f>
        <v>5.0245187010535377E-4</v>
      </c>
      <c r="M2" s="7">
        <f>$B2 * IFERROR(VLOOKUP("buildings|NOx|Premature mortality", US_national_yearly!$D:$AM, 21, FALSE) / VLOOKUP("buildings|NOx|Premature mortality", US_national_yearly!$D:$AM, 10, FALSE), 1)</f>
        <v>5.097191772200539E-4</v>
      </c>
      <c r="N2" s="7">
        <f>$B2 * IFERROR(VLOOKUP("buildings|NOx|Premature mortality", US_national_yearly!$D:$AM, 22, FALSE) / VLOOKUP("buildings|NOx|Premature mortality", US_national_yearly!$D:$AM, 10, FALSE), 1)</f>
        <v>5.1510397437646964E-4</v>
      </c>
      <c r="O2" s="7">
        <f>$B2 * IFERROR(VLOOKUP("buildings|NOx|Premature mortality", US_national_yearly!$D:$AM, 23, FALSE) / VLOOKUP("buildings|NOx|Premature mortality", US_national_yearly!$D:$AM, 10, FALSE), 1)</f>
        <v>5.2048877153288537E-4</v>
      </c>
      <c r="P2" s="7">
        <f>$B2 * IFERROR(VLOOKUP("buildings|NOx|Premature mortality", US_national_yearly!$D:$AM, 24, FALSE) / VLOOKUP("buildings|NOx|Premature mortality", US_national_yearly!$D:$AM, 10, FALSE), 1)</f>
        <v>5.2587356868930121E-4</v>
      </c>
      <c r="Q2" s="7">
        <f>$B2 * IFERROR(VLOOKUP("buildings|NOx|Premature mortality", US_national_yearly!$D:$AM, 25, FALSE) / VLOOKUP("buildings|NOx|Premature mortality", US_national_yearly!$D:$AM, 10, FALSE), 1)</f>
        <v>5.3125836584571684E-4</v>
      </c>
      <c r="R2" s="7">
        <f>$B2 * IFERROR(VLOOKUP("buildings|NOx|Premature mortality", US_national_yearly!$D:$AM, 26, FALSE) / VLOOKUP("buildings|NOx|Premature mortality", US_national_yearly!$D:$AM, 10, FALSE), 1)</f>
        <v>5.3664316300213268E-4</v>
      </c>
      <c r="S2" s="7">
        <f>$B2 * IFERROR(VLOOKUP("buildings|NOx|Premature mortality", US_national_yearly!$D:$AM, 27, FALSE) / VLOOKUP("buildings|NOx|Premature mortality", US_national_yearly!$D:$AM, 10, FALSE), 1)</f>
        <v>5.3909130408875624E-4</v>
      </c>
      <c r="T2" s="7">
        <f>$B2 * IFERROR(VLOOKUP("buildings|NOx|Premature mortality", US_national_yearly!$D:$AM, 28, FALSE) / VLOOKUP("buildings|NOx|Premature mortality", US_national_yearly!$D:$AM, 10, FALSE), 1)</f>
        <v>5.415394451753798E-4</v>
      </c>
      <c r="U2" s="7">
        <f>$B2 * IFERROR(VLOOKUP("buildings|NOx|Premature mortality", US_national_yearly!$D:$AM, 29, FALSE) / VLOOKUP("buildings|NOx|Premature mortality", US_national_yearly!$D:$AM, 10, FALSE), 1)</f>
        <v>5.4398758626200336E-4</v>
      </c>
      <c r="V2" s="7">
        <f>$B2 * IFERROR(VLOOKUP("buildings|NOx|Premature mortality", US_national_yearly!$D:$AM, 30, FALSE) / VLOOKUP("buildings|NOx|Premature mortality", US_national_yearly!$D:$AM, 10, FALSE), 1)</f>
        <v>5.4643572734862692E-4</v>
      </c>
      <c r="W2" s="7">
        <f>$B2 * IFERROR(VLOOKUP("buildings|NOx|Premature mortality", US_national_yearly!$D:$AM, 31, FALSE) / VLOOKUP("buildings|NOx|Premature mortality", US_national_yearly!$D:$AM, 10, FALSE), 1)</f>
        <v>5.4888386843525048E-4</v>
      </c>
      <c r="X2" s="7">
        <f>$B2 * IFERROR(VLOOKUP("buildings|NOx|Premature mortality", US_national_yearly!$D:$AM, 32, FALSE) / VLOOKUP("buildings|NOx|Premature mortality", US_national_yearly!$D:$AM, 10, FALSE), 1)</f>
        <v>5.4897008996867365E-4</v>
      </c>
      <c r="Y2" s="7">
        <f>$B2 * IFERROR(VLOOKUP("buildings|NOx|Premature mortality", US_national_yearly!$D:$AM, 33, FALSE) / VLOOKUP("buildings|NOx|Premature mortality", US_national_yearly!$D:$AM, 10, FALSE), 1)</f>
        <v>5.4905631150209671E-4</v>
      </c>
      <c r="Z2" s="7">
        <f>$B2 * IFERROR(VLOOKUP("buildings|NOx|Premature mortality", US_national_yearly!$D:$AM, 34, FALSE) / VLOOKUP("buildings|NOx|Premature mortality", US_national_yearly!$D:$AM, 10, FALSE), 1)</f>
        <v>5.4914253303551988E-4</v>
      </c>
      <c r="AA2" s="7">
        <f>$B2 * IFERROR(VLOOKUP("buildings|NOx|Premature mortality", US_national_yearly!$D:$AM, 35, FALSE) / VLOOKUP("buildings|NOx|Premature mortality", US_national_yearly!$D:$AM, 10, FALSE), 1)</f>
        <v>5.4922875456894294E-4</v>
      </c>
      <c r="AB2" s="7">
        <f>$B2 * IFERROR(VLOOKUP("buildings|NOx|Premature mortality", US_national_yearly!$D:$AM, 36, FALSE) / VLOOKUP("buildings|NOx|Premature mortality", US_national_yearly!$D:$AM, 10, FALSE), 1)</f>
        <v>5.4931497610236622E-4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1.2414186326866626E-6</v>
      </c>
      <c r="C3" s="7">
        <f>$B3 * IFERROR(VLOOKUP("buildings|NOx|Infant mortality", US_national_yearly!$D:$AM, 11, FALSE) / VLOOKUP("buildings|NOx|Infant mortality", US_national_yearly!$D:$AM, 10, FALSE), 1)</f>
        <v>1.2296266126504362E-6</v>
      </c>
      <c r="D3" s="7">
        <f>$B3 * IFERROR(VLOOKUP("buildings|NOx|Infant mortality", US_national_yearly!$D:$AM, 12, FALSE) / VLOOKUP("buildings|NOx|Infant mortality", US_national_yearly!$D:$AM, 10, FALSE), 1)</f>
        <v>1.2178345926142096E-6</v>
      </c>
      <c r="E3" s="7">
        <f>$B3 * IFERROR(VLOOKUP("buildings|NOx|Infant mortality", US_national_yearly!$D:$AM, 13, FALSE) / VLOOKUP("buildings|NOx|Infant mortality", US_national_yearly!$D:$AM, 10, FALSE), 1)</f>
        <v>1.2060425725779831E-6</v>
      </c>
      <c r="F3" s="7">
        <f>$B3 * IFERROR(VLOOKUP("buildings|NOx|Infant mortality", US_national_yearly!$D:$AM, 14, FALSE) / VLOOKUP("buildings|NOx|Infant mortality", US_national_yearly!$D:$AM, 10, FALSE), 1)</f>
        <v>1.1942505525417565E-6</v>
      </c>
      <c r="G3" s="7">
        <f>$B3 * IFERROR(VLOOKUP("buildings|NOx|Infant mortality", US_national_yearly!$D:$AM, 15, FALSE) / VLOOKUP("buildings|NOx|Infant mortality", US_national_yearly!$D:$AM, 10, FALSE), 1)</f>
        <v>7.9266881292879979E-7</v>
      </c>
      <c r="H3" s="7">
        <f>$B3 * IFERROR(VLOOKUP("buildings|NOx|Infant mortality", US_national_yearly!$D:$AM, 16, FALSE) / VLOOKUP("buildings|NOx|Infant mortality", US_national_yearly!$D:$AM, 10, FALSE), 1)</f>
        <v>3.9108707331584319E-7</v>
      </c>
      <c r="I3" s="7">
        <f>$B3 * IFERROR(VLOOKUP("buildings|NOx|Infant mortality", US_national_yearly!$D:$AM, 17, FALSE) / VLOOKUP("buildings|NOx|Infant mortality", US_national_yearly!$D:$AM, 10, FALSE), 1)</f>
        <v>3.8832421585610463E-7</v>
      </c>
      <c r="J3" s="7">
        <f>$B3 * IFERROR(VLOOKUP("buildings|NOx|Infant mortality", US_national_yearly!$D:$AM, 18, FALSE) / VLOOKUP("buildings|NOx|Infant mortality", US_national_yearly!$D:$AM, 10, FALSE), 1)</f>
        <v>3.8556135839636602E-7</v>
      </c>
      <c r="K3" s="7">
        <f>$B3 * IFERROR(VLOOKUP("buildings|NOx|Infant mortality", US_national_yearly!$D:$AM, 19, FALSE) / VLOOKUP("buildings|NOx|Infant mortality", US_national_yearly!$D:$AM, 10, FALSE), 1)</f>
        <v>3.8279850093662751E-7</v>
      </c>
      <c r="L3" s="7">
        <f>$B3 * IFERROR(VLOOKUP("buildings|NOx|Infant mortality", US_national_yearly!$D:$AM, 20, FALSE) / VLOOKUP("buildings|NOx|Infant mortality", US_national_yearly!$D:$AM, 10, FALSE), 1)</f>
        <v>3.8003564347688895E-7</v>
      </c>
      <c r="M3" s="7">
        <f>$B3 * IFERROR(VLOOKUP("buildings|NOx|Infant mortality", US_national_yearly!$D:$AM, 21, FALSE) / VLOOKUP("buildings|NOx|Infant mortality", US_national_yearly!$D:$AM, 10, FALSE), 1)</f>
        <v>3.7727278601715039E-7</v>
      </c>
      <c r="N3" s="7">
        <f>$B3 * IFERROR(VLOOKUP("buildings|NOx|Infant mortality", US_national_yearly!$D:$AM, 22, FALSE) / VLOOKUP("buildings|NOx|Infant mortality", US_national_yearly!$D:$AM, 10, FALSE), 1)</f>
        <v>3.7544199507076872E-7</v>
      </c>
      <c r="O3" s="7">
        <f>$B3 * IFERROR(VLOOKUP("buildings|NOx|Infant mortality", US_national_yearly!$D:$AM, 23, FALSE) / VLOOKUP("buildings|NOx|Infant mortality", US_national_yearly!$D:$AM, 10, FALSE), 1)</f>
        <v>3.7361120412438705E-7</v>
      </c>
      <c r="P3" s="7">
        <f>$B3 * IFERROR(VLOOKUP("buildings|NOx|Infant mortality", US_national_yearly!$D:$AM, 24, FALSE) / VLOOKUP("buildings|NOx|Infant mortality", US_national_yearly!$D:$AM, 10, FALSE), 1)</f>
        <v>3.7178041317800543E-7</v>
      </c>
      <c r="Q3" s="7">
        <f>$B3 * IFERROR(VLOOKUP("buildings|NOx|Infant mortality", US_national_yearly!$D:$AM, 25, FALSE) / VLOOKUP("buildings|NOx|Infant mortality", US_national_yearly!$D:$AM, 10, FALSE), 1)</f>
        <v>3.6994962223162381E-7</v>
      </c>
      <c r="R3" s="7">
        <f>$B3 * IFERROR(VLOOKUP("buildings|NOx|Infant mortality", US_national_yearly!$D:$AM, 26, FALSE) / VLOOKUP("buildings|NOx|Infant mortality", US_national_yearly!$D:$AM, 10, FALSE), 1)</f>
        <v>3.6811883128524219E-7</v>
      </c>
      <c r="S3" s="7">
        <f>$B3 * IFERROR(VLOOKUP("buildings|NOx|Infant mortality", US_national_yearly!$D:$AM, 27, FALSE) / VLOOKUP("buildings|NOx|Infant mortality", US_national_yearly!$D:$AM, 10, FALSE), 1)</f>
        <v>3.6591650670538878E-7</v>
      </c>
      <c r="T3" s="7">
        <f>$B3 * IFERROR(VLOOKUP("buildings|NOx|Infant mortality", US_national_yearly!$D:$AM, 28, FALSE) / VLOOKUP("buildings|NOx|Infant mortality", US_national_yearly!$D:$AM, 10, FALSE), 1)</f>
        <v>3.6371418212553541E-7</v>
      </c>
      <c r="U3" s="7">
        <f>$B3 * IFERROR(VLOOKUP("buildings|NOx|Infant mortality", US_national_yearly!$D:$AM, 29, FALSE) / VLOOKUP("buildings|NOx|Infant mortality", US_national_yearly!$D:$AM, 10, FALSE), 1)</f>
        <v>3.61511857545682E-7</v>
      </c>
      <c r="V3" s="7">
        <f>$B3 * IFERROR(VLOOKUP("buildings|NOx|Infant mortality", US_national_yearly!$D:$AM, 30, FALSE) / VLOOKUP("buildings|NOx|Infant mortality", US_national_yearly!$D:$AM, 10, FALSE), 1)</f>
        <v>3.5930953296582858E-7</v>
      </c>
      <c r="W3" s="7">
        <f>$B3 * IFERROR(VLOOKUP("buildings|NOx|Infant mortality", US_national_yearly!$D:$AM, 31, FALSE) / VLOOKUP("buildings|NOx|Infant mortality", US_national_yearly!$D:$AM, 10, FALSE), 1)</f>
        <v>3.5710720838597527E-7</v>
      </c>
      <c r="X3" s="7">
        <f>$B3 * IFERROR(VLOOKUP("buildings|NOx|Infant mortality", US_national_yearly!$D:$AM, 32, FALSE) / VLOOKUP("buildings|NOx|Infant mortality", US_national_yearly!$D:$AM, 10, FALSE), 1)</f>
        <v>3.5477695595967019E-7</v>
      </c>
      <c r="Y3" s="7">
        <f>$B3 * IFERROR(VLOOKUP("buildings|NOx|Infant mortality", US_national_yearly!$D:$AM, 33, FALSE) / VLOOKUP("buildings|NOx|Infant mortality", US_national_yearly!$D:$AM, 10, FALSE), 1)</f>
        <v>3.5244670353336517E-7</v>
      </c>
      <c r="Z3" s="7">
        <f>$B3 * IFERROR(VLOOKUP("buildings|NOx|Infant mortality", US_national_yearly!$D:$AM, 34, FALSE) / VLOOKUP("buildings|NOx|Infant mortality", US_national_yearly!$D:$AM, 10, FALSE), 1)</f>
        <v>3.501164511070601E-7</v>
      </c>
      <c r="AA3" s="7">
        <f>$B3 * IFERROR(VLOOKUP("buildings|NOx|Infant mortality", US_national_yearly!$D:$AM, 35, FALSE) / VLOOKUP("buildings|NOx|Infant mortality", US_national_yearly!$D:$AM, 10, FALSE), 1)</f>
        <v>3.4778619868075502E-7</v>
      </c>
      <c r="AB3" s="7">
        <f>$B3 * IFERROR(VLOOKUP("buildings|NOx|Infant mortality", US_national_yearly!$D:$AM, 36, FALSE) / VLOOKUP("buildings|NOx|Infant mortality", US_national_yearly!$D:$AM, 10, FALSE), 1)</f>
        <v>3.4545594625444995E-7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1.2903677151703506E-3</v>
      </c>
      <c r="C6" s="7">
        <f>$B6 * IFERROR(VLOOKUP("buildings|NOx|Asthma symptoms cough", US_national_yearly!$D:$AM, 11, FALSE) / VLOOKUP("buildings|NOx|Asthma symptoms cough", US_national_yearly!$D:$AM, 10, FALSE), 1)</f>
        <v>1.308026748824764E-3</v>
      </c>
      <c r="D6" s="7">
        <f>$B6 * IFERROR(VLOOKUP("buildings|NOx|Asthma symptoms cough", US_national_yearly!$D:$AM, 12, FALSE) / VLOOKUP("buildings|NOx|Asthma symptoms cough", US_national_yearly!$D:$AM, 10, FALSE), 1)</f>
        <v>1.3256857824791779E-3</v>
      </c>
      <c r="E6" s="7">
        <f>$B6 * IFERROR(VLOOKUP("buildings|NOx|Asthma symptoms cough", US_national_yearly!$D:$AM, 13, FALSE) / VLOOKUP("buildings|NOx|Asthma symptoms cough", US_national_yearly!$D:$AM, 10, FALSE), 1)</f>
        <v>1.3433448161335913E-3</v>
      </c>
      <c r="F6" s="7">
        <f>$B6 * IFERROR(VLOOKUP("buildings|NOx|Asthma symptoms cough", US_national_yearly!$D:$AM, 14, FALSE) / VLOOKUP("buildings|NOx|Asthma symptoms cough", US_national_yearly!$D:$AM, 10, FALSE), 1)</f>
        <v>1.3610038497880049E-3</v>
      </c>
      <c r="G6" s="7">
        <f>$B6 * IFERROR(VLOOKUP("buildings|NOx|Asthma symptoms cough", US_national_yearly!$D:$AM, 15, FALSE) / VLOOKUP("buildings|NOx|Asthma symptoms cough", US_national_yearly!$D:$AM, 10, FALSE), 1)</f>
        <v>1.3751167266208035E-3</v>
      </c>
      <c r="H6" s="7">
        <f>$B6 * IFERROR(VLOOKUP("buildings|NOx|Asthma symptoms cough", US_national_yearly!$D:$AM, 16, FALSE) / VLOOKUP("buildings|NOx|Asthma symptoms cough", US_national_yearly!$D:$AM, 10, FALSE), 1)</f>
        <v>1.3892296034536023E-3</v>
      </c>
      <c r="I6" s="7">
        <f>$B6 * IFERROR(VLOOKUP("buildings|NOx|Asthma symptoms cough", US_national_yearly!$D:$AM, 17, FALSE) / VLOOKUP("buildings|NOx|Asthma symptoms cough", US_national_yearly!$D:$AM, 10, FALSE), 1)</f>
        <v>1.3941136533036429E-3</v>
      </c>
      <c r="J6" s="7">
        <f>$B6 * IFERROR(VLOOKUP("buildings|NOx|Asthma symptoms cough", US_national_yearly!$D:$AM, 18, FALSE) / VLOOKUP("buildings|NOx|Asthma symptoms cough", US_national_yearly!$D:$AM, 10, FALSE), 1)</f>
        <v>1.3989977031536834E-3</v>
      </c>
      <c r="K6" s="7">
        <f>$B6 * IFERROR(VLOOKUP("buildings|NOx|Asthma symptoms cough", US_national_yearly!$D:$AM, 19, FALSE) / VLOOKUP("buildings|NOx|Asthma symptoms cough", US_national_yearly!$D:$AM, 10, FALSE), 1)</f>
        <v>1.4038817530037237E-3</v>
      </c>
      <c r="L6" s="7">
        <f>$B6 * IFERROR(VLOOKUP("buildings|NOx|Asthma symptoms cough", US_national_yearly!$D:$AM, 20, FALSE) / VLOOKUP("buildings|NOx|Asthma symptoms cough", US_national_yearly!$D:$AM, 10, FALSE), 1)</f>
        <v>1.4087658028537643E-3</v>
      </c>
      <c r="M6" s="7">
        <f>$B6 * IFERROR(VLOOKUP("buildings|NOx|Asthma symptoms cough", US_national_yearly!$D:$AM, 21, FALSE) / VLOOKUP("buildings|NOx|Asthma symptoms cough", US_national_yearly!$D:$AM, 10, FALSE), 1)</f>
        <v>1.4136498527038046E-3</v>
      </c>
      <c r="N6" s="7">
        <f>$B6 * IFERROR(VLOOKUP("buildings|NOx|Asthma symptoms cough", US_national_yearly!$D:$AM, 22, FALSE) / VLOOKUP("buildings|NOx|Asthma symptoms cough", US_national_yearly!$D:$AM, 10, FALSE), 1)</f>
        <v>1.4192973396611119E-3</v>
      </c>
      <c r="O6" s="7">
        <f>$B6 * IFERROR(VLOOKUP("buildings|NOx|Asthma symptoms cough", US_national_yearly!$D:$AM, 23, FALSE) / VLOOKUP("buildings|NOx|Asthma symptoms cough", US_national_yearly!$D:$AM, 10, FALSE), 1)</f>
        <v>1.4249448266184189E-3</v>
      </c>
      <c r="P6" s="7">
        <f>$B6 * IFERROR(VLOOKUP("buildings|NOx|Asthma symptoms cough", US_national_yearly!$D:$AM, 24, FALSE) / VLOOKUP("buildings|NOx|Asthma symptoms cough", US_national_yearly!$D:$AM, 10, FALSE), 1)</f>
        <v>1.430592313575726E-3</v>
      </c>
      <c r="Q6" s="7">
        <f>$B6 * IFERROR(VLOOKUP("buildings|NOx|Asthma symptoms cough", US_national_yearly!$D:$AM, 25, FALSE) / VLOOKUP("buildings|NOx|Asthma symptoms cough", US_national_yearly!$D:$AM, 10, FALSE), 1)</f>
        <v>1.4362398005330333E-3</v>
      </c>
      <c r="R6" s="7">
        <f>$B6 * IFERROR(VLOOKUP("buildings|NOx|Asthma symptoms cough", US_national_yearly!$D:$AM, 26, FALSE) / VLOOKUP("buildings|NOx|Asthma symptoms cough", US_national_yearly!$D:$AM, 10, FALSE), 1)</f>
        <v>1.4418872874903401E-3</v>
      </c>
      <c r="S6" s="7">
        <f>$B6 * IFERROR(VLOOKUP("buildings|NOx|Asthma symptoms cough", US_national_yearly!$D:$AM, 27, FALSE) / VLOOKUP("buildings|NOx|Asthma symptoms cough", US_national_yearly!$D:$AM, 10, FALSE), 1)</f>
        <v>1.4492630251422881E-3</v>
      </c>
      <c r="T6" s="7">
        <f>$B6 * IFERROR(VLOOKUP("buildings|NOx|Asthma symptoms cough", US_national_yearly!$D:$AM, 28, FALSE) / VLOOKUP("buildings|NOx|Asthma symptoms cough", US_national_yearly!$D:$AM, 10, FALSE), 1)</f>
        <v>1.4566387627942359E-3</v>
      </c>
      <c r="U6" s="7">
        <f>$B6 * IFERROR(VLOOKUP("buildings|NOx|Asthma symptoms cough", US_national_yearly!$D:$AM, 29, FALSE) / VLOOKUP("buildings|NOx|Asthma symptoms cough", US_national_yearly!$D:$AM, 10, FALSE), 1)</f>
        <v>1.4640145004461837E-3</v>
      </c>
      <c r="V6" s="7">
        <f>$B6 * IFERROR(VLOOKUP("buildings|NOx|Asthma symptoms cough", US_national_yearly!$D:$AM, 30, FALSE) / VLOOKUP("buildings|NOx|Asthma symptoms cough", US_national_yearly!$D:$AM, 10, FALSE), 1)</f>
        <v>1.4713902380981319E-3</v>
      </c>
      <c r="W6" s="7">
        <f>$B6 * IFERROR(VLOOKUP("buildings|NOx|Asthma symptoms cough", US_national_yearly!$D:$AM, 31, FALSE) / VLOOKUP("buildings|NOx|Asthma symptoms cough", US_national_yearly!$D:$AM, 10, FALSE), 1)</f>
        <v>1.4787659757500796E-3</v>
      </c>
      <c r="X6" s="7">
        <f>$B6 * IFERROR(VLOOKUP("buildings|NOx|Asthma symptoms cough", US_national_yearly!$D:$AM, 32, FALSE) / VLOOKUP("buildings|NOx|Asthma symptoms cough", US_national_yearly!$D:$AM, 10, FALSE), 1)</f>
        <v>1.4856190509498907E-3</v>
      </c>
      <c r="Y6" s="7">
        <f>$B6 * IFERROR(VLOOKUP("buildings|NOx|Asthma symptoms cough", US_national_yearly!$D:$AM, 33, FALSE) / VLOOKUP("buildings|NOx|Asthma symptoms cough", US_national_yearly!$D:$AM, 10, FALSE), 1)</f>
        <v>1.4924721261497021E-3</v>
      </c>
      <c r="Z6" s="7">
        <f>$B6 * IFERROR(VLOOKUP("buildings|NOx|Asthma symptoms cough", US_national_yearly!$D:$AM, 34, FALSE) / VLOOKUP("buildings|NOx|Asthma symptoms cough", US_national_yearly!$D:$AM, 10, FALSE), 1)</f>
        <v>1.4993252013495136E-3</v>
      </c>
      <c r="AA6" s="7">
        <f>$B6 * IFERROR(VLOOKUP("buildings|NOx|Asthma symptoms cough", US_national_yearly!$D:$AM, 35, FALSE) / VLOOKUP("buildings|NOx|Asthma symptoms cough", US_national_yearly!$D:$AM, 10, FALSE), 1)</f>
        <v>1.5061782765493251E-3</v>
      </c>
      <c r="AB6" s="7">
        <f>$B6 * IFERROR(VLOOKUP("buildings|NOx|Asthma symptoms cough", US_national_yearly!$D:$AM, 36, FALSE) / VLOOKUP("buildings|NOx|Asthma symptoms cough", US_national_yearly!$D:$AM, 10, FALSE), 1)</f>
        <v>1.5130313517491365E-3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1.7376638147362743E-3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1.7614442173013633E-3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1.7852246198664526E-3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1.8090050224315417E-3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1.832785424996631E-3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1.8517904225715007E-3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1.8707954201463701E-3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1.8773724884323002E-3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1.8839495567182299E-3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1.8905266250041602E-3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1.8971036932900901E-3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1.9036807615760202E-3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1.9112859066161708E-3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1.9188910516563214E-3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1.9264961966964722E-3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1.9341013417366229E-3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1.9417064867767735E-3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1.9516389674234262E-3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1.9615714480700789E-3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1.9715039287167319E-3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1.9814364093633844E-3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1.9913688900100369E-3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2.0005975312608303E-3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2.0098261725116228E-3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2.0190548137624157E-3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2.0282834550132077E-3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2.0375120962640007E-3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2.6548684839848499E-3</v>
      </c>
      <c r="C8" s="7">
        <f>$B8 * IFERROR(VLOOKUP("buildings|NOx|Asthma symptoms wheeze", US_national_yearly!$D:$AM, 11, FALSE) / VLOOKUP("buildings|NOx|Asthma symptoms wheeze", US_national_yearly!$D:$AM, 10, FALSE), 1)</f>
        <v>2.6912010823396241E-3</v>
      </c>
      <c r="D8" s="7">
        <f>$B8 * IFERROR(VLOOKUP("buildings|NOx|Asthma symptoms wheeze", US_national_yearly!$D:$AM, 12, FALSE) / VLOOKUP("buildings|NOx|Asthma symptoms wheeze", US_national_yearly!$D:$AM, 10, FALSE), 1)</f>
        <v>2.7275336806943979E-3</v>
      </c>
      <c r="E8" s="7">
        <f>$B8 * IFERROR(VLOOKUP("buildings|NOx|Asthma symptoms wheeze", US_national_yearly!$D:$AM, 13, FALSE) / VLOOKUP("buildings|NOx|Asthma symptoms wheeze", US_national_yearly!$D:$AM, 10, FALSE), 1)</f>
        <v>2.7638662790491712E-3</v>
      </c>
      <c r="F8" s="7">
        <f>$B8 * IFERROR(VLOOKUP("buildings|NOx|Asthma symptoms wheeze", US_national_yearly!$D:$AM, 14, FALSE) / VLOOKUP("buildings|NOx|Asthma symptoms wheeze", US_national_yearly!$D:$AM, 10, FALSE), 1)</f>
        <v>2.8001988774039458E-3</v>
      </c>
      <c r="G8" s="7">
        <f>$B8 * IFERROR(VLOOKUP("buildings|NOx|Asthma symptoms wheeze", US_national_yearly!$D:$AM, 15, FALSE) / VLOOKUP("buildings|NOx|Asthma symptoms wheeze", US_national_yearly!$D:$AM, 10, FALSE), 1)</f>
        <v>2.8292354314782631E-3</v>
      </c>
      <c r="H8" s="7">
        <f>$B8 * IFERROR(VLOOKUP("buildings|NOx|Asthma symptoms wheeze", US_national_yearly!$D:$AM, 16, FALSE) / VLOOKUP("buildings|NOx|Asthma symptoms wheeze", US_national_yearly!$D:$AM, 10, FALSE), 1)</f>
        <v>2.8582719855525796E-3</v>
      </c>
      <c r="I8" s="7">
        <f>$B8 * IFERROR(VLOOKUP("buildings|NOx|Asthma symptoms wheeze", US_national_yearly!$D:$AM, 17, FALSE) / VLOOKUP("buildings|NOx|Asthma symptoms wheeze", US_national_yearly!$D:$AM, 10, FALSE), 1)</f>
        <v>2.8683206793287943E-3</v>
      </c>
      <c r="J8" s="7">
        <f>$B8 * IFERROR(VLOOKUP("buildings|NOx|Asthma symptoms wheeze", US_national_yearly!$D:$AM, 18, FALSE) / VLOOKUP("buildings|NOx|Asthma symptoms wheeze", US_national_yearly!$D:$AM, 10, FALSE), 1)</f>
        <v>2.8783693731050082E-3</v>
      </c>
      <c r="K8" s="7">
        <f>$B8 * IFERROR(VLOOKUP("buildings|NOx|Asthma symptoms wheeze", US_national_yearly!$D:$AM, 19, FALSE) / VLOOKUP("buildings|NOx|Asthma symptoms wheeze", US_national_yearly!$D:$AM, 10, FALSE), 1)</f>
        <v>2.8884180668812226E-3</v>
      </c>
      <c r="L8" s="7">
        <f>$B8 * IFERROR(VLOOKUP("buildings|NOx|Asthma symptoms wheeze", US_national_yearly!$D:$AM, 20, FALSE) / VLOOKUP("buildings|NOx|Asthma symptoms wheeze", US_national_yearly!$D:$AM, 10, FALSE), 1)</f>
        <v>2.8984667606574365E-3</v>
      </c>
      <c r="M8" s="7">
        <f>$B8 * IFERROR(VLOOKUP("buildings|NOx|Asthma symptoms wheeze", US_national_yearly!$D:$AM, 21, FALSE) / VLOOKUP("buildings|NOx|Asthma symptoms wheeze", US_national_yearly!$D:$AM, 10, FALSE), 1)</f>
        <v>2.9085154544336513E-3</v>
      </c>
      <c r="N8" s="7">
        <f>$B8 * IFERROR(VLOOKUP("buildings|NOx|Asthma symptoms wheeze", US_national_yearly!$D:$AM, 22, FALSE) / VLOOKUP("buildings|NOx|Asthma symptoms wheeze", US_national_yearly!$D:$AM, 10, FALSE), 1)</f>
        <v>2.9201348827326422E-3</v>
      </c>
      <c r="O8" s="7">
        <f>$B8 * IFERROR(VLOOKUP("buildings|NOx|Asthma symptoms wheeze", US_national_yearly!$D:$AM, 23, FALSE) / VLOOKUP("buildings|NOx|Asthma symptoms wheeze", US_national_yearly!$D:$AM, 10, FALSE), 1)</f>
        <v>2.9317543110316336E-3</v>
      </c>
      <c r="P8" s="7">
        <f>$B8 * IFERROR(VLOOKUP("buildings|NOx|Asthma symptoms wheeze", US_national_yearly!$D:$AM, 24, FALSE) / VLOOKUP("buildings|NOx|Asthma symptoms wheeze", US_national_yearly!$D:$AM, 10, FALSE), 1)</f>
        <v>2.9433737393306245E-3</v>
      </c>
      <c r="Q8" s="7">
        <f>$B8 * IFERROR(VLOOKUP("buildings|NOx|Asthma symptoms wheeze", US_national_yearly!$D:$AM, 25, FALSE) / VLOOKUP("buildings|NOx|Asthma symptoms wheeze", US_national_yearly!$D:$AM, 10, FALSE), 1)</f>
        <v>2.9549931676296159E-3</v>
      </c>
      <c r="R8" s="7">
        <f>$B8 * IFERROR(VLOOKUP("buildings|NOx|Asthma symptoms wheeze", US_national_yearly!$D:$AM, 26, FALSE) / VLOOKUP("buildings|NOx|Asthma symptoms wheeze", US_national_yearly!$D:$AM, 10, FALSE), 1)</f>
        <v>2.9666125959286068E-3</v>
      </c>
      <c r="S8" s="7">
        <f>$B8 * IFERROR(VLOOKUP("buildings|NOx|Asthma symptoms wheeze", US_national_yearly!$D:$AM, 27, FALSE) / VLOOKUP("buildings|NOx|Asthma symptoms wheeze", US_national_yearly!$D:$AM, 10, FALSE), 1)</f>
        <v>2.9817878155381583E-3</v>
      </c>
      <c r="T8" s="7">
        <f>$B8 * IFERROR(VLOOKUP("buildings|NOx|Asthma symptoms wheeze", US_national_yearly!$D:$AM, 28, FALSE) / VLOOKUP("buildings|NOx|Asthma symptoms wheeze", US_national_yearly!$D:$AM, 10, FALSE), 1)</f>
        <v>2.9969630351477099E-3</v>
      </c>
      <c r="U8" s="7">
        <f>$B8 * IFERROR(VLOOKUP("buildings|NOx|Asthma symptoms wheeze", US_national_yearly!$D:$AM, 29, FALSE) / VLOOKUP("buildings|NOx|Asthma symptoms wheeze", US_national_yearly!$D:$AM, 10, FALSE), 1)</f>
        <v>3.0121382547572614E-3</v>
      </c>
      <c r="V8" s="7">
        <f>$B8 * IFERROR(VLOOKUP("buildings|NOx|Asthma symptoms wheeze", US_national_yearly!$D:$AM, 30, FALSE) / VLOOKUP("buildings|NOx|Asthma symptoms wheeze", US_national_yearly!$D:$AM, 10, FALSE), 1)</f>
        <v>3.0273134743668134E-3</v>
      </c>
      <c r="W8" s="7">
        <f>$B8 * IFERROR(VLOOKUP("buildings|NOx|Asthma symptoms wheeze", US_national_yearly!$D:$AM, 31, FALSE) / VLOOKUP("buildings|NOx|Asthma symptoms wheeze", US_national_yearly!$D:$AM, 10, FALSE), 1)</f>
        <v>3.042488693976365E-3</v>
      </c>
      <c r="X8" s="7">
        <f>$B8 * IFERROR(VLOOKUP("buildings|NOx|Asthma symptoms wheeze", US_national_yearly!$D:$AM, 32, FALSE) / VLOOKUP("buildings|NOx|Asthma symptoms wheeze", US_national_yearly!$D:$AM, 10, FALSE), 1)</f>
        <v>3.0565885611450122E-3</v>
      </c>
      <c r="Y8" s="7">
        <f>$B8 * IFERROR(VLOOKUP("buildings|NOx|Asthma symptoms wheeze", US_national_yearly!$D:$AM, 33, FALSE) / VLOOKUP("buildings|NOx|Asthma symptoms wheeze", US_national_yearly!$D:$AM, 10, FALSE), 1)</f>
        <v>3.0706884283136599E-3</v>
      </c>
      <c r="Z8" s="7">
        <f>$B8 * IFERROR(VLOOKUP("buildings|NOx|Asthma symptoms wheeze", US_national_yearly!$D:$AM, 34, FALSE) / VLOOKUP("buildings|NOx|Asthma symptoms wheeze", US_national_yearly!$D:$AM, 10, FALSE), 1)</f>
        <v>3.0847882954823081E-3</v>
      </c>
      <c r="AA8" s="7">
        <f>$B8 * IFERROR(VLOOKUP("buildings|NOx|Asthma symptoms wheeze", US_national_yearly!$D:$AM, 35, FALSE) / VLOOKUP("buildings|NOx|Asthma symptoms wheeze", US_national_yearly!$D:$AM, 10, FALSE), 1)</f>
        <v>3.0988881626509558E-3</v>
      </c>
      <c r="AB8" s="7">
        <f>$B8 * IFERROR(VLOOKUP("buildings|NOx|Asthma symptoms wheeze", US_national_yearly!$D:$AM, 36, FALSE) / VLOOKUP("buildings|NOx|Asthma symptoms wheeze", US_national_yearly!$D:$AM, 10, FALSE), 1)</f>
        <v>3.1129880298196039E-3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3.3831398620441379E-5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3.4676654141126972E-5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3.5521909661812572E-5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3.6367165182498165E-5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3.7212420703183759E-5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3.8020510701901204E-5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3.8828600700618636E-5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3.9515054115714233E-5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4.0201507530809829E-5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4.0887960945905425E-5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4.1574414361001022E-5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4.2260867776096618E-5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4.2719758107079095E-5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4.3178648438061573E-5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4.3637538769044043E-5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4.4096429100026527E-5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4.4555319431008997E-5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4.4801362529601872E-5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4.5047405628194754E-5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4.5293448726787629E-5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4.5539491825380504E-5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4.5785534923973378E-5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4.595396303440021E-5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4.6122391144827034E-5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4.6290819255253873E-5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4.6459247365680697E-5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4.6627675476107529E-5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1.4547762852804816E-4</v>
      </c>
      <c r="C13" s="7">
        <f>$B13 * IFERROR(VLOOKUP("buildings|NOx|Non-fatal heart attacks", US_national_yearly!$D:$AM, 11, FALSE) / VLOOKUP("buildings|NOx|Non-fatal heart attacks", US_national_yearly!$D:$AM, 10, FALSE), 1)</f>
        <v>1.4963944687127641E-4</v>
      </c>
      <c r="D13" s="7">
        <f>$B13 * IFERROR(VLOOKUP("buildings|NOx|Non-fatal heart attacks", US_national_yearly!$D:$AM, 12, FALSE) / VLOOKUP("buildings|NOx|Non-fatal heart attacks", US_national_yearly!$D:$AM, 10, FALSE), 1)</f>
        <v>1.5380126521450475E-4</v>
      </c>
      <c r="E13" s="7">
        <f>$B13 * IFERROR(VLOOKUP("buildings|NOx|Non-fatal heart attacks", US_national_yearly!$D:$AM, 13, FALSE) / VLOOKUP("buildings|NOx|Non-fatal heart attacks", US_national_yearly!$D:$AM, 10, FALSE), 1)</f>
        <v>1.57963083557733E-4</v>
      </c>
      <c r="F13" s="7">
        <f>$B13 * IFERROR(VLOOKUP("buildings|NOx|Non-fatal heart attacks", US_national_yearly!$D:$AM, 14, FALSE) / VLOOKUP("buildings|NOx|Non-fatal heart attacks", US_national_yearly!$D:$AM, 10, FALSE), 1)</f>
        <v>1.6212490190096126E-4</v>
      </c>
      <c r="G13" s="7">
        <f>$B13 * IFERROR(VLOOKUP("buildings|NOx|Non-fatal heart attacks", US_national_yearly!$D:$AM, 15, FALSE) / VLOOKUP("buildings|NOx|Non-fatal heart attacks", US_national_yearly!$D:$AM, 10, FALSE), 1)</f>
        <v>1.6601493950835252E-4</v>
      </c>
      <c r="H13" s="7">
        <f>$B13 * IFERROR(VLOOKUP("buildings|NOx|Non-fatal heart attacks", US_national_yearly!$D:$AM, 16, FALSE) / VLOOKUP("buildings|NOx|Non-fatal heart attacks", US_national_yearly!$D:$AM, 10, FALSE), 1)</f>
        <v>1.6990497711574383E-4</v>
      </c>
      <c r="I13" s="7">
        <f>$B13 * IFERROR(VLOOKUP("buildings|NOx|Non-fatal heart attacks", US_national_yearly!$D:$AM, 17, FALSE) / VLOOKUP("buildings|NOx|Non-fatal heart attacks", US_national_yearly!$D:$AM, 10, FALSE), 1)</f>
        <v>1.7297393715437487E-4</v>
      </c>
      <c r="J13" s="7">
        <f>$B13 * IFERROR(VLOOKUP("buildings|NOx|Non-fatal heart attacks", US_national_yearly!$D:$AM, 18, FALSE) / VLOOKUP("buildings|NOx|Non-fatal heart attacks", US_national_yearly!$D:$AM, 10, FALSE), 1)</f>
        <v>1.7604289719300593E-4</v>
      </c>
      <c r="K13" s="7">
        <f>$B13 * IFERROR(VLOOKUP("buildings|NOx|Non-fatal heart attacks", US_national_yearly!$D:$AM, 19, FALSE) / VLOOKUP("buildings|NOx|Non-fatal heart attacks", US_national_yearly!$D:$AM, 10, FALSE), 1)</f>
        <v>1.7911185723163705E-4</v>
      </c>
      <c r="L13" s="7">
        <f>$B13 * IFERROR(VLOOKUP("buildings|NOx|Non-fatal heart attacks", US_national_yearly!$D:$AM, 20, FALSE) / VLOOKUP("buildings|NOx|Non-fatal heart attacks", US_national_yearly!$D:$AM, 10, FALSE), 1)</f>
        <v>1.82180817270268E-4</v>
      </c>
      <c r="M13" s="7">
        <f>$B13 * IFERROR(VLOOKUP("buildings|NOx|Non-fatal heart attacks", US_national_yearly!$D:$AM, 21, FALSE) / VLOOKUP("buildings|NOx|Non-fatal heart attacks", US_national_yearly!$D:$AM, 10, FALSE), 1)</f>
        <v>1.8524977730889909E-4</v>
      </c>
      <c r="N13" s="7">
        <f>$B13 * IFERROR(VLOOKUP("buildings|NOx|Non-fatal heart attacks", US_national_yearly!$D:$AM, 22, FALSE) / VLOOKUP("buildings|NOx|Non-fatal heart attacks", US_national_yearly!$D:$AM, 10, FALSE), 1)</f>
        <v>1.8709677049269142E-4</v>
      </c>
      <c r="O13" s="7">
        <f>$B13 * IFERROR(VLOOKUP("buildings|NOx|Non-fatal heart attacks", US_national_yearly!$D:$AM, 23, FALSE) / VLOOKUP("buildings|NOx|Non-fatal heart attacks", US_national_yearly!$D:$AM, 10, FALSE), 1)</f>
        <v>1.8894376367648369E-4</v>
      </c>
      <c r="P13" s="7">
        <f>$B13 * IFERROR(VLOOKUP("buildings|NOx|Non-fatal heart attacks", US_national_yearly!$D:$AM, 24, FALSE) / VLOOKUP("buildings|NOx|Non-fatal heart attacks", US_national_yearly!$D:$AM, 10, FALSE), 1)</f>
        <v>1.9079075686027601E-4</v>
      </c>
      <c r="Q13" s="7">
        <f>$B13 * IFERROR(VLOOKUP("buildings|NOx|Non-fatal heart attacks", US_national_yearly!$D:$AM, 25, FALSE) / VLOOKUP("buildings|NOx|Non-fatal heart attacks", US_national_yearly!$D:$AM, 10, FALSE), 1)</f>
        <v>1.9263775004406831E-4</v>
      </c>
      <c r="R13" s="7">
        <f>$B13 * IFERROR(VLOOKUP("buildings|NOx|Non-fatal heart attacks", US_national_yearly!$D:$AM, 26, FALSE) / VLOOKUP("buildings|NOx|Non-fatal heart attacks", US_national_yearly!$D:$AM, 10, FALSE), 1)</f>
        <v>1.9448474322786061E-4</v>
      </c>
      <c r="S13" s="7">
        <f>$B13 * IFERROR(VLOOKUP("buildings|NOx|Non-fatal heart attacks", US_national_yearly!$D:$AM, 27, FALSE) / VLOOKUP("buildings|NOx|Non-fatal heart attacks", US_national_yearly!$D:$AM, 10, FALSE), 1)</f>
        <v>1.9532408938840347E-4</v>
      </c>
      <c r="T13" s="7">
        <f>$B13 * IFERROR(VLOOKUP("buildings|NOx|Non-fatal heart attacks", US_national_yearly!$D:$AM, 28, FALSE) / VLOOKUP("buildings|NOx|Non-fatal heart attacks", US_national_yearly!$D:$AM, 10, FALSE), 1)</f>
        <v>1.9616343554894645E-4</v>
      </c>
      <c r="U13" s="7">
        <f>$B13 * IFERROR(VLOOKUP("buildings|NOx|Non-fatal heart attacks", US_national_yearly!$D:$AM, 29, FALSE) / VLOOKUP("buildings|NOx|Non-fatal heart attacks", US_national_yearly!$D:$AM, 10, FALSE), 1)</f>
        <v>1.9700278170948934E-4</v>
      </c>
      <c r="V13" s="7">
        <f>$B13 * IFERROR(VLOOKUP("buildings|NOx|Non-fatal heart attacks", US_national_yearly!$D:$AM, 30, FALSE) / VLOOKUP("buildings|NOx|Non-fatal heart attacks", US_national_yearly!$D:$AM, 10, FALSE), 1)</f>
        <v>1.9784212787003221E-4</v>
      </c>
      <c r="W13" s="7">
        <f>$B13 * IFERROR(VLOOKUP("buildings|NOx|Non-fatal heart attacks", US_national_yearly!$D:$AM, 31, FALSE) / VLOOKUP("buildings|NOx|Non-fatal heart attacks", US_national_yearly!$D:$AM, 10, FALSE), 1)</f>
        <v>1.9868147403057513E-4</v>
      </c>
      <c r="X13" s="7">
        <f>$B13 * IFERROR(VLOOKUP("buildings|NOx|Non-fatal heart attacks", US_national_yearly!$D:$AM, 32, FALSE) / VLOOKUP("buildings|NOx|Non-fatal heart attacks", US_national_yearly!$D:$AM, 10, FALSE), 1)</f>
        <v>1.9924292826276256E-4</v>
      </c>
      <c r="Y13" s="7">
        <f>$B13 * IFERROR(VLOOKUP("buildings|NOx|Non-fatal heart attacks", US_national_yearly!$D:$AM, 33, FALSE) / VLOOKUP("buildings|NOx|Non-fatal heart attacks", US_national_yearly!$D:$AM, 10, FALSE), 1)</f>
        <v>1.9980438249494995E-4</v>
      </c>
      <c r="Z13" s="7">
        <f>$B13 * IFERROR(VLOOKUP("buildings|NOx|Non-fatal heart attacks", US_national_yearly!$D:$AM, 34, FALSE) / VLOOKUP("buildings|NOx|Non-fatal heart attacks", US_national_yearly!$D:$AM, 10, FALSE), 1)</f>
        <v>2.003658367271374E-4</v>
      </c>
      <c r="AA13" s="7">
        <f>$B13 * IFERROR(VLOOKUP("buildings|NOx|Non-fatal heart attacks", US_national_yearly!$D:$AM, 35, FALSE) / VLOOKUP("buildings|NOx|Non-fatal heart attacks", US_national_yearly!$D:$AM, 10, FALSE), 1)</f>
        <v>2.009272909593248E-4</v>
      </c>
      <c r="AB13" s="7">
        <f>$B13 * IFERROR(VLOOKUP("buildings|NOx|Non-fatal heart attacks", US_national_yearly!$D:$AM, 36, FALSE) / VLOOKUP("buildings|NOx|Non-fatal heart attacks", US_national_yearly!$D:$AM, 10, FALSE), 1)</f>
        <v>2.014887451915122E-4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0.1456820250438273</v>
      </c>
      <c r="C14" s="7">
        <f>$B14 * IFERROR(VLOOKUP("buildings|NOx|Minor restricted activity days", US_national_yearly!$D:$AM, 11, FALSE) / VLOOKUP("buildings|NOx|Minor restricted activity days", US_national_yearly!$D:$AM, 10, FALSE), 1)</f>
        <v>0.14590808909392955</v>
      </c>
      <c r="D14" s="7">
        <f>$B14 * IFERROR(VLOOKUP("buildings|NOx|Minor restricted activity days", US_national_yearly!$D:$AM, 12, FALSE) / VLOOKUP("buildings|NOx|Minor restricted activity days", US_national_yearly!$D:$AM, 10, FALSE), 1)</f>
        <v>0.1461341531440318</v>
      </c>
      <c r="E14" s="7">
        <f>$B14 * IFERROR(VLOOKUP("buildings|NOx|Minor restricted activity days", US_national_yearly!$D:$AM, 13, FALSE) / VLOOKUP("buildings|NOx|Minor restricted activity days", US_national_yearly!$D:$AM, 10, FALSE), 1)</f>
        <v>0.14636021719413406</v>
      </c>
      <c r="F14" s="7">
        <f>$B14 * IFERROR(VLOOKUP("buildings|NOx|Minor restricted activity days", US_national_yearly!$D:$AM, 14, FALSE) / VLOOKUP("buildings|NOx|Minor restricted activity days", US_national_yearly!$D:$AM, 10, FALSE), 1)</f>
        <v>0.14658628124423631</v>
      </c>
      <c r="G14" s="7">
        <f>$B14 * IFERROR(VLOOKUP("buildings|NOx|Minor restricted activity days", US_national_yearly!$D:$AM, 15, FALSE) / VLOOKUP("buildings|NOx|Minor restricted activity days", US_national_yearly!$D:$AM, 10, FALSE), 1)</f>
        <v>0.14699240570253796</v>
      </c>
      <c r="H14" s="7">
        <f>$B14 * IFERROR(VLOOKUP("buildings|NOx|Minor restricted activity days", US_national_yearly!$D:$AM, 16, FALSE) / VLOOKUP("buildings|NOx|Minor restricted activity days", US_national_yearly!$D:$AM, 10, FALSE), 1)</f>
        <v>0.14739853016083959</v>
      </c>
      <c r="I14" s="7">
        <f>$B14 * IFERROR(VLOOKUP("buildings|NOx|Minor restricted activity days", US_national_yearly!$D:$AM, 17, FALSE) / VLOOKUP("buildings|NOx|Minor restricted activity days", US_national_yearly!$D:$AM, 10, FALSE), 1)</f>
        <v>0.14819035698663496</v>
      </c>
      <c r="J14" s="7">
        <f>$B14 * IFERROR(VLOOKUP("buildings|NOx|Minor restricted activity days", US_national_yearly!$D:$AM, 18, FALSE) / VLOOKUP("buildings|NOx|Minor restricted activity days", US_national_yearly!$D:$AM, 10, FALSE), 1)</f>
        <v>0.14898218381243034</v>
      </c>
      <c r="K14" s="7">
        <f>$B14 * IFERROR(VLOOKUP("buildings|NOx|Minor restricted activity days", US_national_yearly!$D:$AM, 19, FALSE) / VLOOKUP("buildings|NOx|Minor restricted activity days", US_national_yearly!$D:$AM, 10, FALSE), 1)</f>
        <v>0.14977401063822571</v>
      </c>
      <c r="L14" s="7">
        <f>$B14 * IFERROR(VLOOKUP("buildings|NOx|Minor restricted activity days", US_national_yearly!$D:$AM, 20, FALSE) / VLOOKUP("buildings|NOx|Minor restricted activity days", US_national_yearly!$D:$AM, 10, FALSE), 1)</f>
        <v>0.15056583746402108</v>
      </c>
      <c r="M14" s="7">
        <f>$B14 * IFERROR(VLOOKUP("buildings|NOx|Minor restricted activity days", US_national_yearly!$D:$AM, 21, FALSE) / VLOOKUP("buildings|NOx|Minor restricted activity days", US_national_yearly!$D:$AM, 10, FALSE), 1)</f>
        <v>0.15135766428981648</v>
      </c>
      <c r="N14" s="7">
        <f>$B14 * IFERROR(VLOOKUP("buildings|NOx|Minor restricted activity days", US_national_yearly!$D:$AM, 22, FALSE) / VLOOKUP("buildings|NOx|Minor restricted activity days", US_national_yearly!$D:$AM, 10, FALSE), 1)</f>
        <v>0.1524904583071274</v>
      </c>
      <c r="O14" s="7">
        <f>$B14 * IFERROR(VLOOKUP("buildings|NOx|Minor restricted activity days", US_national_yearly!$D:$AM, 23, FALSE) / VLOOKUP("buildings|NOx|Minor restricted activity days", US_national_yearly!$D:$AM, 10, FALSE), 1)</f>
        <v>0.1536232523244383</v>
      </c>
      <c r="P14" s="7">
        <f>$B14 * IFERROR(VLOOKUP("buildings|NOx|Minor restricted activity days", US_national_yearly!$D:$AM, 24, FALSE) / VLOOKUP("buildings|NOx|Minor restricted activity days", US_national_yearly!$D:$AM, 10, FALSE), 1)</f>
        <v>0.15475604634174922</v>
      </c>
      <c r="Q14" s="7">
        <f>$B14 * IFERROR(VLOOKUP("buildings|NOx|Minor restricted activity days", US_national_yearly!$D:$AM, 25, FALSE) / VLOOKUP("buildings|NOx|Minor restricted activity days", US_national_yearly!$D:$AM, 10, FALSE), 1)</f>
        <v>0.15588884035906012</v>
      </c>
      <c r="R14" s="7">
        <f>$B14 * IFERROR(VLOOKUP("buildings|NOx|Minor restricted activity days", US_national_yearly!$D:$AM, 26, FALSE) / VLOOKUP("buildings|NOx|Minor restricted activity days", US_national_yearly!$D:$AM, 10, FALSE), 1)</f>
        <v>0.15702163437637101</v>
      </c>
      <c r="S14" s="7">
        <f>$B14 * IFERROR(VLOOKUP("buildings|NOx|Minor restricted activity days", US_national_yearly!$D:$AM, 27, FALSE) / VLOOKUP("buildings|NOx|Minor restricted activity days", US_national_yearly!$D:$AM, 10, FALSE), 1)</f>
        <v>0.15815410229304119</v>
      </c>
      <c r="T14" s="7">
        <f>$B14 * IFERROR(VLOOKUP("buildings|NOx|Minor restricted activity days", US_national_yearly!$D:$AM, 28, FALSE) / VLOOKUP("buildings|NOx|Minor restricted activity days", US_national_yearly!$D:$AM, 10, FALSE), 1)</f>
        <v>0.15928657020971138</v>
      </c>
      <c r="U14" s="7">
        <f>$B14 * IFERROR(VLOOKUP("buildings|NOx|Minor restricted activity days", US_national_yearly!$D:$AM, 29, FALSE) / VLOOKUP("buildings|NOx|Minor restricted activity days", US_national_yearly!$D:$AM, 10, FALSE), 1)</f>
        <v>0.16041903812638161</v>
      </c>
      <c r="V14" s="7">
        <f>$B14 * IFERROR(VLOOKUP("buildings|NOx|Minor restricted activity days", US_national_yearly!$D:$AM, 30, FALSE) / VLOOKUP("buildings|NOx|Minor restricted activity days", US_national_yearly!$D:$AM, 10, FALSE), 1)</f>
        <v>0.1615515060430518</v>
      </c>
      <c r="W14" s="7">
        <f>$B14 * IFERROR(VLOOKUP("buildings|NOx|Minor restricted activity days", US_national_yearly!$D:$AM, 31, FALSE) / VLOOKUP("buildings|NOx|Minor restricted activity days", US_national_yearly!$D:$AM, 10, FALSE), 1)</f>
        <v>0.16268397395972198</v>
      </c>
      <c r="X14" s="7">
        <f>$B14 * IFERROR(VLOOKUP("buildings|NOx|Minor restricted activity days", US_national_yearly!$D:$AM, 32, FALSE) / VLOOKUP("buildings|NOx|Minor restricted activity days", US_national_yearly!$D:$AM, 10, FALSE), 1)</f>
        <v>0.16364174859510358</v>
      </c>
      <c r="Y14" s="7">
        <f>$B14 * IFERROR(VLOOKUP("buildings|NOx|Minor restricted activity days", US_national_yearly!$D:$AM, 33, FALSE) / VLOOKUP("buildings|NOx|Minor restricted activity days", US_national_yearly!$D:$AM, 10, FALSE), 1)</f>
        <v>0.16459952323048521</v>
      </c>
      <c r="Z14" s="7">
        <f>$B14 * IFERROR(VLOOKUP("buildings|NOx|Minor restricted activity days", US_national_yearly!$D:$AM, 34, FALSE) / VLOOKUP("buildings|NOx|Minor restricted activity days", US_national_yearly!$D:$AM, 10, FALSE), 1)</f>
        <v>0.16555729786586679</v>
      </c>
      <c r="AA14" s="7">
        <f>$B14 * IFERROR(VLOOKUP("buildings|NOx|Minor restricted activity days", US_national_yearly!$D:$AM, 35, FALSE) / VLOOKUP("buildings|NOx|Minor restricted activity days", US_national_yearly!$D:$AM, 10, FALSE), 1)</f>
        <v>0.16651507250124842</v>
      </c>
      <c r="AB14" s="7">
        <f>$B14 * IFERROR(VLOOKUP("buildings|NOx|Minor restricted activity days", US_national_yearly!$D:$AM, 36, FALSE) / VLOOKUP("buildings|NOx|Minor restricted activity days", US_national_yearly!$D:$AM, 10, FALSE), 1)</f>
        <v>0.16747284713663002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2.4764212705501332E-2</v>
      </c>
      <c r="C15" s="7">
        <f>$B15 * IFERROR(VLOOKUP("buildings|NOx|Work loss days", US_national_yearly!$D:$AM, 11, FALSE) / VLOOKUP("buildings|NOx|Work loss days", US_national_yearly!$D:$AM, 10, FALSE), 1)</f>
        <v>2.4819727509391962E-2</v>
      </c>
      <c r="D15" s="7">
        <f>$B15 * IFERROR(VLOOKUP("buildings|NOx|Work loss days", US_national_yearly!$D:$AM, 12, FALSE) / VLOOKUP("buildings|NOx|Work loss days", US_national_yearly!$D:$AM, 10, FALSE), 1)</f>
        <v>2.4875242313282586E-2</v>
      </c>
      <c r="E15" s="7">
        <f>$B15 * IFERROR(VLOOKUP("buildings|NOx|Work loss days", US_national_yearly!$D:$AM, 13, FALSE) / VLOOKUP("buildings|NOx|Work loss days", US_national_yearly!$D:$AM, 10, FALSE), 1)</f>
        <v>2.493075711717321E-2</v>
      </c>
      <c r="F15" s="7">
        <f>$B15 * IFERROR(VLOOKUP("buildings|NOx|Work loss days", US_national_yearly!$D:$AM, 14, FALSE) / VLOOKUP("buildings|NOx|Work loss days", US_national_yearly!$D:$AM, 10, FALSE), 1)</f>
        <v>2.4986271921063841E-2</v>
      </c>
      <c r="G15" s="7">
        <f>$B15 * IFERROR(VLOOKUP("buildings|NOx|Work loss days", US_national_yearly!$D:$AM, 15, FALSE) / VLOOKUP("buildings|NOx|Work loss days", US_national_yearly!$D:$AM, 10, FALSE), 1)</f>
        <v>2.5067135456977658E-2</v>
      </c>
      <c r="H15" s="7">
        <f>$B15 * IFERROR(VLOOKUP("buildings|NOx|Work loss days", US_national_yearly!$D:$AM, 16, FALSE) / VLOOKUP("buildings|NOx|Work loss days", US_national_yearly!$D:$AM, 10, FALSE), 1)</f>
        <v>2.5147998992891475E-2</v>
      </c>
      <c r="I15" s="7">
        <f>$B15 * IFERROR(VLOOKUP("buildings|NOx|Work loss days", US_national_yearly!$D:$AM, 17, FALSE) / VLOOKUP("buildings|NOx|Work loss days", US_national_yearly!$D:$AM, 10, FALSE), 1)</f>
        <v>2.5278779704188799E-2</v>
      </c>
      <c r="J15" s="7">
        <f>$B15 * IFERROR(VLOOKUP("buildings|NOx|Work loss days", US_national_yearly!$D:$AM, 18, FALSE) / VLOOKUP("buildings|NOx|Work loss days", US_national_yearly!$D:$AM, 10, FALSE), 1)</f>
        <v>2.5409560415486115E-2</v>
      </c>
      <c r="K15" s="7">
        <f>$B15 * IFERROR(VLOOKUP("buildings|NOx|Work loss days", US_national_yearly!$D:$AM, 19, FALSE) / VLOOKUP("buildings|NOx|Work loss days", US_national_yearly!$D:$AM, 10, FALSE), 1)</f>
        <v>2.5540341126783439E-2</v>
      </c>
      <c r="L15" s="7">
        <f>$B15 * IFERROR(VLOOKUP("buildings|NOx|Work loss days", US_national_yearly!$D:$AM, 20, FALSE) / VLOOKUP("buildings|NOx|Work loss days", US_national_yearly!$D:$AM, 10, FALSE), 1)</f>
        <v>2.5671121838080763E-2</v>
      </c>
      <c r="M15" s="7">
        <f>$B15 * IFERROR(VLOOKUP("buildings|NOx|Work loss days", US_national_yearly!$D:$AM, 21, FALSE) / VLOOKUP("buildings|NOx|Work loss days", US_national_yearly!$D:$AM, 10, FALSE), 1)</f>
        <v>2.5801902549378083E-2</v>
      </c>
      <c r="N15" s="7">
        <f>$B15 * IFERROR(VLOOKUP("buildings|NOx|Work loss days", US_national_yearly!$D:$AM, 22, FALSE) / VLOOKUP("buildings|NOx|Work loss days", US_national_yearly!$D:$AM, 10, FALSE), 1)</f>
        <v>2.5972048470496566E-2</v>
      </c>
      <c r="O15" s="7">
        <f>$B15 * IFERROR(VLOOKUP("buildings|NOx|Work loss days", US_national_yearly!$D:$AM, 23, FALSE) / VLOOKUP("buildings|NOx|Work loss days", US_national_yearly!$D:$AM, 10, FALSE), 1)</f>
        <v>2.6142194391615053E-2</v>
      </c>
      <c r="P15" s="7">
        <f>$B15 * IFERROR(VLOOKUP("buildings|NOx|Work loss days", US_national_yearly!$D:$AM, 24, FALSE) / VLOOKUP("buildings|NOx|Work loss days", US_national_yearly!$D:$AM, 10, FALSE), 1)</f>
        <v>2.631234031273354E-2</v>
      </c>
      <c r="Q15" s="7">
        <f>$B15 * IFERROR(VLOOKUP("buildings|NOx|Work loss days", US_national_yearly!$D:$AM, 25, FALSE) / VLOOKUP("buildings|NOx|Work loss days", US_national_yearly!$D:$AM, 10, FALSE), 1)</f>
        <v>2.6482486233852031E-2</v>
      </c>
      <c r="R15" s="7">
        <f>$B15 * IFERROR(VLOOKUP("buildings|NOx|Work loss days", US_national_yearly!$D:$AM, 26, FALSE) / VLOOKUP("buildings|NOx|Work loss days", US_national_yearly!$D:$AM, 10, FALSE), 1)</f>
        <v>2.6652632154970518E-2</v>
      </c>
      <c r="S15" s="7">
        <f>$B15 * IFERROR(VLOOKUP("buildings|NOx|Work loss days", US_national_yearly!$D:$AM, 27, FALSE) / VLOOKUP("buildings|NOx|Work loss days", US_national_yearly!$D:$AM, 10, FALSE), 1)</f>
        <v>2.6842229966209896E-2</v>
      </c>
      <c r="T15" s="7">
        <f>$B15 * IFERROR(VLOOKUP("buildings|NOx|Work loss days", US_national_yearly!$D:$AM, 28, FALSE) / VLOOKUP("buildings|NOx|Work loss days", US_national_yearly!$D:$AM, 10, FALSE), 1)</f>
        <v>2.703182777744928E-2</v>
      </c>
      <c r="U15" s="7">
        <f>$B15 * IFERROR(VLOOKUP("buildings|NOx|Work loss days", US_national_yearly!$D:$AM, 29, FALSE) / VLOOKUP("buildings|NOx|Work loss days", US_national_yearly!$D:$AM, 10, FALSE), 1)</f>
        <v>2.7221425588688661E-2</v>
      </c>
      <c r="V15" s="7">
        <f>$B15 * IFERROR(VLOOKUP("buildings|NOx|Work loss days", US_national_yearly!$D:$AM, 30, FALSE) / VLOOKUP("buildings|NOx|Work loss days", US_national_yearly!$D:$AM, 10, FALSE), 1)</f>
        <v>2.7411023399928038E-2</v>
      </c>
      <c r="W15" s="7">
        <f>$B15 * IFERROR(VLOOKUP("buildings|NOx|Work loss days", US_national_yearly!$D:$AM, 31, FALSE) / VLOOKUP("buildings|NOx|Work loss days", US_national_yearly!$D:$AM, 10, FALSE), 1)</f>
        <v>2.7600621211167419E-2</v>
      </c>
      <c r="X15" s="7">
        <f>$B15 * IFERROR(VLOOKUP("buildings|NOx|Work loss days", US_national_yearly!$D:$AM, 32, FALSE) / VLOOKUP("buildings|NOx|Work loss days", US_national_yearly!$D:$AM, 10, FALSE), 1)</f>
        <v>2.7765231725364287E-2</v>
      </c>
      <c r="Y15" s="7">
        <f>$B15 * IFERROR(VLOOKUP("buildings|NOx|Work loss days", US_national_yearly!$D:$AM, 33, FALSE) / VLOOKUP("buildings|NOx|Work loss days", US_national_yearly!$D:$AM, 10, FALSE), 1)</f>
        <v>2.7929842239561159E-2</v>
      </c>
      <c r="Z15" s="7">
        <f>$B15 * IFERROR(VLOOKUP("buildings|NOx|Work loss days", US_national_yearly!$D:$AM, 34, FALSE) / VLOOKUP("buildings|NOx|Work loss days", US_national_yearly!$D:$AM, 10, FALSE), 1)</f>
        <v>2.8094452753758027E-2</v>
      </c>
      <c r="AA15" s="7">
        <f>$B15 * IFERROR(VLOOKUP("buildings|NOx|Work loss days", US_national_yearly!$D:$AM, 35, FALSE) / VLOOKUP("buildings|NOx|Work loss days", US_national_yearly!$D:$AM, 10, FALSE), 1)</f>
        <v>2.8259063267954899E-2</v>
      </c>
      <c r="AB15" s="7">
        <f>$B15 * IFERROR(VLOOKUP("buildings|NOx|Work loss days", US_national_yearly!$D:$AM, 36, FALSE) / VLOOKUP("buildings|NOx|Work loss days", US_national_yearly!$D:$AM, 10, FALSE), 1)</f>
        <v>2.8423673782151767E-2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4.1864116262253457E-5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4.309492500037584E-5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4.4325733738498237E-5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4.5556542476620626E-5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4.6787351214743009E-5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4.7956597130502881E-5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4.9125843046262758E-5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5.0109648044515956E-5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5.1093453042769139E-5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5.2077258041022329E-5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5.3061063039275513E-5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5.404486803752869E-5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5.4660271669977172E-5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5.5275675302425634E-5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5.589107893487411E-5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5.6506482567322579E-5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5.7121886199771041E-5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5.7403081629489422E-5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5.7684277059207789E-5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5.796547248892617E-5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5.8246667918644537E-5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5.8527863348362918E-5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5.8684598841705061E-5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5.8841334335047218E-5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5.8998069828389361E-5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5.9154805321731511E-5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5.9311540815073655E-5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7.1266599051359153E-4</v>
      </c>
      <c r="C2" s="7">
        <f>$B2 * IFERROR(VLOOKUP("buildings|SO2|Premature mortality", US_national_yearly!$D:$AM, 11, FALSE) / VLOOKUP("buildings|SO2|Premature mortality", US_national_yearly!$D:$AM, 10, FALSE), 1)</f>
        <v>7.2169433678190222E-4</v>
      </c>
      <c r="D2" s="7">
        <f>$B2 * IFERROR(VLOOKUP("buildings|SO2|Premature mortality", US_national_yearly!$D:$AM, 12, FALSE) / VLOOKUP("buildings|SO2|Premature mortality", US_national_yearly!$D:$AM, 10, FALSE), 1)</f>
        <v>7.3072268305021291E-4</v>
      </c>
      <c r="E2" s="7">
        <f>$B2 * IFERROR(VLOOKUP("buildings|SO2|Premature mortality", US_national_yearly!$D:$AM, 13, FALSE) / VLOOKUP("buildings|SO2|Premature mortality", US_national_yearly!$D:$AM, 10, FALSE), 1)</f>
        <v>7.397510293185236E-4</v>
      </c>
      <c r="F2" s="7">
        <f>$B2 * IFERROR(VLOOKUP("buildings|SO2|Premature mortality", US_national_yearly!$D:$AM, 14, FALSE) / VLOOKUP("buildings|SO2|Premature mortality", US_national_yearly!$D:$AM, 10, FALSE), 1)</f>
        <v>7.4877937558683429E-4</v>
      </c>
      <c r="G2" s="7">
        <f>$B2 * IFERROR(VLOOKUP("buildings|SO2|Premature mortality", US_national_yearly!$D:$AM, 15, FALSE) / VLOOKUP("buildings|SO2|Premature mortality", US_national_yearly!$D:$AM, 10, FALSE), 1)</f>
        <v>7.6617516692984377E-4</v>
      </c>
      <c r="H2" s="7">
        <f>$B2 * IFERROR(VLOOKUP("buildings|SO2|Premature mortality", US_national_yearly!$D:$AM, 16, FALSE) / VLOOKUP("buildings|SO2|Premature mortality", US_national_yearly!$D:$AM, 10, FALSE), 1)</f>
        <v>7.8357095827285336E-4</v>
      </c>
      <c r="I2" s="7">
        <f>$B2 * IFERROR(VLOOKUP("buildings|SO2|Premature mortality", US_national_yearly!$D:$AM, 17, FALSE) / VLOOKUP("buildings|SO2|Premature mortality", US_national_yearly!$D:$AM, 10, FALSE), 1)</f>
        <v>7.9507295559033155E-4</v>
      </c>
      <c r="J2" s="7">
        <f>$B2 * IFERROR(VLOOKUP("buildings|SO2|Premature mortality", US_national_yearly!$D:$AM, 18, FALSE) / VLOOKUP("buildings|SO2|Premature mortality", US_national_yearly!$D:$AM, 10, FALSE), 1)</f>
        <v>8.0657495290780952E-4</v>
      </c>
      <c r="K2" s="7">
        <f>$B2 * IFERROR(VLOOKUP("buildings|SO2|Premature mortality", US_national_yearly!$D:$AM, 19, FALSE) / VLOOKUP("buildings|SO2|Premature mortality", US_national_yearly!$D:$AM, 10, FALSE), 1)</f>
        <v>8.1807695022528761E-4</v>
      </c>
      <c r="L2" s="7">
        <f>$B2 * IFERROR(VLOOKUP("buildings|SO2|Premature mortality", US_national_yearly!$D:$AM, 20, FALSE) / VLOOKUP("buildings|SO2|Premature mortality", US_national_yearly!$D:$AM, 10, FALSE), 1)</f>
        <v>8.2957894754276558E-4</v>
      </c>
      <c r="M2" s="7">
        <f>$B2 * IFERROR(VLOOKUP("buildings|SO2|Premature mortality", US_national_yearly!$D:$AM, 21, FALSE) / VLOOKUP("buildings|SO2|Premature mortality", US_national_yearly!$D:$AM, 10, FALSE), 1)</f>
        <v>8.4108094486024367E-4</v>
      </c>
      <c r="N2" s="7">
        <f>$B2 * IFERROR(VLOOKUP("buildings|SO2|Premature mortality", US_national_yearly!$D:$AM, 22, FALSE) / VLOOKUP("buildings|SO2|Premature mortality", US_national_yearly!$D:$AM, 10, FALSE), 1)</f>
        <v>8.5006590114868389E-4</v>
      </c>
      <c r="O2" s="7">
        <f>$B2 * IFERROR(VLOOKUP("buildings|SO2|Premature mortality", US_national_yearly!$D:$AM, 23, FALSE) / VLOOKUP("buildings|SO2|Premature mortality", US_national_yearly!$D:$AM, 10, FALSE), 1)</f>
        <v>8.5905085743712356E-4</v>
      </c>
      <c r="P2" s="7">
        <f>$B2 * IFERROR(VLOOKUP("buildings|SO2|Premature mortality", US_national_yearly!$D:$AM, 24, FALSE) / VLOOKUP("buildings|SO2|Premature mortality", US_national_yearly!$D:$AM, 10, FALSE), 1)</f>
        <v>8.6803581372556357E-4</v>
      </c>
      <c r="Q2" s="7">
        <f>$B2 * IFERROR(VLOOKUP("buildings|SO2|Premature mortality", US_national_yearly!$D:$AM, 25, FALSE) / VLOOKUP("buildings|SO2|Premature mortality", US_national_yearly!$D:$AM, 10, FALSE), 1)</f>
        <v>8.7702077001400346E-4</v>
      </c>
      <c r="R2" s="7">
        <f>$B2 * IFERROR(VLOOKUP("buildings|SO2|Premature mortality", US_national_yearly!$D:$AM, 26, FALSE) / VLOOKUP("buildings|SO2|Premature mortality", US_national_yearly!$D:$AM, 10, FALSE), 1)</f>
        <v>8.8600572630244347E-4</v>
      </c>
      <c r="S2" s="7">
        <f>$B2 * IFERROR(VLOOKUP("buildings|SO2|Premature mortality", US_national_yearly!$D:$AM, 27, FALSE) / VLOOKUP("buildings|SO2|Premature mortality", US_national_yearly!$D:$AM, 10, FALSE), 1)</f>
        <v>8.9081457746896639E-4</v>
      </c>
      <c r="T2" s="7">
        <f>$B2 * IFERROR(VLOOKUP("buildings|SO2|Premature mortality", US_national_yearly!$D:$AM, 28, FALSE) / VLOOKUP("buildings|SO2|Premature mortality", US_national_yearly!$D:$AM, 10, FALSE), 1)</f>
        <v>8.9562342863548953E-4</v>
      </c>
      <c r="U2" s="7">
        <f>$B2 * IFERROR(VLOOKUP("buildings|SO2|Premature mortality", US_national_yearly!$D:$AM, 29, FALSE) / VLOOKUP("buildings|SO2|Premature mortality", US_national_yearly!$D:$AM, 10, FALSE), 1)</f>
        <v>9.0043227980201245E-4</v>
      </c>
      <c r="V2" s="7">
        <f>$B2 * IFERROR(VLOOKUP("buildings|SO2|Premature mortality", US_national_yearly!$D:$AM, 30, FALSE) / VLOOKUP("buildings|SO2|Premature mortality", US_national_yearly!$D:$AM, 10, FALSE), 1)</f>
        <v>9.0524113096853548E-4</v>
      </c>
      <c r="W2" s="7">
        <f>$B2 * IFERROR(VLOOKUP("buildings|SO2|Premature mortality", US_national_yearly!$D:$AM, 31, FALSE) / VLOOKUP("buildings|SO2|Premature mortality", US_national_yearly!$D:$AM, 10, FALSE), 1)</f>
        <v>9.1004998213505841E-4</v>
      </c>
      <c r="X2" s="7">
        <f>$B2 * IFERROR(VLOOKUP("buildings|SO2|Premature mortality", US_national_yearly!$D:$AM, 32, FALSE) / VLOOKUP("buildings|SO2|Premature mortality", US_national_yearly!$D:$AM, 10, FALSE), 1)</f>
        <v>9.1102168243472757E-4</v>
      </c>
      <c r="Y2" s="7">
        <f>$B2 * IFERROR(VLOOKUP("buildings|SO2|Premature mortality", US_national_yearly!$D:$AM, 33, FALSE) / VLOOKUP("buildings|SO2|Premature mortality", US_national_yearly!$D:$AM, 10, FALSE), 1)</f>
        <v>9.1199338273439663E-4</v>
      </c>
      <c r="Z2" s="7">
        <f>$B2 * IFERROR(VLOOKUP("buildings|SO2|Premature mortality", US_national_yearly!$D:$AM, 34, FALSE) / VLOOKUP("buildings|SO2|Premature mortality", US_national_yearly!$D:$AM, 10, FALSE), 1)</f>
        <v>9.1296508303406569E-4</v>
      </c>
      <c r="AA2" s="7">
        <f>$B2 * IFERROR(VLOOKUP("buildings|SO2|Premature mortality", US_national_yearly!$D:$AM, 35, FALSE) / VLOOKUP("buildings|SO2|Premature mortality", US_national_yearly!$D:$AM, 10, FALSE), 1)</f>
        <v>9.1393678333373475E-4</v>
      </c>
      <c r="AB2" s="7">
        <f>$B2 * IFERROR(VLOOKUP("buildings|SO2|Premature mortality", US_national_yearly!$D:$AM, 36, FALSE) / VLOOKUP("buildings|SO2|Premature mortality", US_national_yearly!$D:$AM, 10, FALSE), 1)</f>
        <v>9.1490848363340392E-4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2.1541069905969719E-6</v>
      </c>
      <c r="C3" s="7">
        <f>$B3 * IFERROR(VLOOKUP("buildings|SO2|Infant mortality", US_national_yearly!$D:$AM, 11, FALSE) / VLOOKUP("buildings|SO2|Infant mortality", US_national_yearly!$D:$AM, 10, FALSE), 1)</f>
        <v>2.1356432624203866E-6</v>
      </c>
      <c r="D3" s="7">
        <f>$B3 * IFERROR(VLOOKUP("buildings|SO2|Infant mortality", US_national_yearly!$D:$AM, 12, FALSE) / VLOOKUP("buildings|SO2|Infant mortality", US_national_yearly!$D:$AM, 10, FALSE), 1)</f>
        <v>2.1171795342438014E-6</v>
      </c>
      <c r="E3" s="7">
        <f>$B3 * IFERROR(VLOOKUP("buildings|SO2|Infant mortality", US_national_yearly!$D:$AM, 13, FALSE) / VLOOKUP("buildings|SO2|Infant mortality", US_national_yearly!$D:$AM, 10, FALSE), 1)</f>
        <v>2.0987158060672162E-6</v>
      </c>
      <c r="F3" s="7">
        <f>$B3 * IFERROR(VLOOKUP("buildings|SO2|Infant mortality", US_national_yearly!$D:$AM, 14, FALSE) / VLOOKUP("buildings|SO2|Infant mortality", US_national_yearly!$D:$AM, 10, FALSE), 1)</f>
        <v>2.0802520778906313E-6</v>
      </c>
      <c r="G3" s="7">
        <f>$B3 * IFERROR(VLOOKUP("buildings|SO2|Infant mortality", US_national_yearly!$D:$AM, 15, FALSE) / VLOOKUP("buildings|SO2|Infant mortality", US_national_yearly!$D:$AM, 10, FALSE), 1)</f>
        <v>1.385365471062412E-6</v>
      </c>
      <c r="H3" s="7">
        <f>$B3 * IFERROR(VLOOKUP("buildings|SO2|Infant mortality", US_national_yearly!$D:$AM, 16, FALSE) / VLOOKUP("buildings|SO2|Infant mortality", US_national_yearly!$D:$AM, 10, FALSE), 1)</f>
        <v>6.9047886423419316E-7</v>
      </c>
      <c r="I3" s="7">
        <f>$B3 * IFERROR(VLOOKUP("buildings|SO2|Infant mortality", US_national_yearly!$D:$AM, 17, FALSE) / VLOOKUP("buildings|SO2|Infant mortality", US_national_yearly!$D:$AM, 10, FALSE), 1)</f>
        <v>6.8614672359043126E-7</v>
      </c>
      <c r="J3" s="7">
        <f>$B3 * IFERROR(VLOOKUP("buildings|SO2|Infant mortality", US_national_yearly!$D:$AM, 18, FALSE) / VLOOKUP("buildings|SO2|Infant mortality", US_national_yearly!$D:$AM, 10, FALSE), 1)</f>
        <v>6.8181458294666916E-7</v>
      </c>
      <c r="K3" s="7">
        <f>$B3 * IFERROR(VLOOKUP("buildings|SO2|Infant mortality", US_national_yearly!$D:$AM, 19, FALSE) / VLOOKUP("buildings|SO2|Infant mortality", US_national_yearly!$D:$AM, 10, FALSE), 1)</f>
        <v>6.7748244230290726E-7</v>
      </c>
      <c r="L3" s="7">
        <f>$B3 * IFERROR(VLOOKUP("buildings|SO2|Infant mortality", US_national_yearly!$D:$AM, 20, FALSE) / VLOOKUP("buildings|SO2|Infant mortality", US_national_yearly!$D:$AM, 10, FALSE), 1)</f>
        <v>6.7315030165914526E-7</v>
      </c>
      <c r="M3" s="7">
        <f>$B3 * IFERROR(VLOOKUP("buildings|SO2|Infant mortality", US_national_yearly!$D:$AM, 21, FALSE) / VLOOKUP("buildings|SO2|Infant mortality", US_national_yearly!$D:$AM, 10, FALSE), 1)</f>
        <v>6.6881816101538336E-7</v>
      </c>
      <c r="N3" s="7">
        <f>$B3 * IFERROR(VLOOKUP("buildings|SO2|Infant mortality", US_national_yearly!$D:$AM, 22, FALSE) / VLOOKUP("buildings|SO2|Infant mortality", US_national_yearly!$D:$AM, 10, FALSE), 1)</f>
        <v>6.6610236904381255E-7</v>
      </c>
      <c r="O3" s="7">
        <f>$B3 * IFERROR(VLOOKUP("buildings|SO2|Infant mortality", US_national_yearly!$D:$AM, 23, FALSE) / VLOOKUP("buildings|SO2|Infant mortality", US_national_yearly!$D:$AM, 10, FALSE), 1)</f>
        <v>6.6338657707224173E-7</v>
      </c>
      <c r="P3" s="7">
        <f>$B3 * IFERROR(VLOOKUP("buildings|SO2|Infant mortality", US_national_yearly!$D:$AM, 24, FALSE) / VLOOKUP("buildings|SO2|Infant mortality", US_national_yearly!$D:$AM, 10, FALSE), 1)</f>
        <v>6.6067078510067091E-7</v>
      </c>
      <c r="Q3" s="7">
        <f>$B3 * IFERROR(VLOOKUP("buildings|SO2|Infant mortality", US_national_yearly!$D:$AM, 25, FALSE) / VLOOKUP("buildings|SO2|Infant mortality", US_national_yearly!$D:$AM, 10, FALSE), 1)</f>
        <v>6.579549931291001E-7</v>
      </c>
      <c r="R3" s="7">
        <f>$B3 * IFERROR(VLOOKUP("buildings|SO2|Infant mortality", US_national_yearly!$D:$AM, 26, FALSE) / VLOOKUP("buildings|SO2|Infant mortality", US_national_yearly!$D:$AM, 10, FALSE), 1)</f>
        <v>6.5523920115752928E-7</v>
      </c>
      <c r="S3" s="7">
        <f>$B3 * IFERROR(VLOOKUP("buildings|SO2|Infant mortality", US_national_yearly!$D:$AM, 27, FALSE) / VLOOKUP("buildings|SO2|Infant mortality", US_national_yearly!$D:$AM, 10, FALSE), 1)</f>
        <v>6.5182902743147488E-7</v>
      </c>
      <c r="T3" s="7">
        <f>$B3 * IFERROR(VLOOKUP("buildings|SO2|Infant mortality", US_national_yearly!$D:$AM, 28, FALSE) / VLOOKUP("buildings|SO2|Infant mortality", US_national_yearly!$D:$AM, 10, FALSE), 1)</f>
        <v>6.4841885370542047E-7</v>
      </c>
      <c r="U3" s="7">
        <f>$B3 * IFERROR(VLOOKUP("buildings|SO2|Infant mortality", US_national_yearly!$D:$AM, 29, FALSE) / VLOOKUP("buildings|SO2|Infant mortality", US_national_yearly!$D:$AM, 10, FALSE), 1)</f>
        <v>6.4500867997936607E-7</v>
      </c>
      <c r="V3" s="7">
        <f>$B3 * IFERROR(VLOOKUP("buildings|SO2|Infant mortality", US_national_yearly!$D:$AM, 30, FALSE) / VLOOKUP("buildings|SO2|Infant mortality", US_national_yearly!$D:$AM, 10, FALSE), 1)</f>
        <v>6.4159850625331167E-7</v>
      </c>
      <c r="W3" s="7">
        <f>$B3 * IFERROR(VLOOKUP("buildings|SO2|Infant mortality", US_national_yearly!$D:$AM, 31, FALSE) / VLOOKUP("buildings|SO2|Infant mortality", US_national_yearly!$D:$AM, 10, FALSE), 1)</f>
        <v>6.3818833252725727E-7</v>
      </c>
      <c r="X3" s="7">
        <f>$B3 * IFERROR(VLOOKUP("buildings|SO2|Infant mortality", US_national_yearly!$D:$AM, 32, FALSE) / VLOOKUP("buildings|SO2|Infant mortality", US_national_yearly!$D:$AM, 10, FALSE), 1)</f>
        <v>6.3446388247099593E-7</v>
      </c>
      <c r="Y3" s="7">
        <f>$B3 * IFERROR(VLOOKUP("buildings|SO2|Infant mortality", US_national_yearly!$D:$AM, 33, FALSE) / VLOOKUP("buildings|SO2|Infant mortality", US_national_yearly!$D:$AM, 10, FALSE), 1)</f>
        <v>6.3073943241473459E-7</v>
      </c>
      <c r="Z3" s="7">
        <f>$B3 * IFERROR(VLOOKUP("buildings|SO2|Infant mortality", US_national_yearly!$D:$AM, 34, FALSE) / VLOOKUP("buildings|SO2|Infant mortality", US_national_yearly!$D:$AM, 10, FALSE), 1)</f>
        <v>6.2701498235847347E-7</v>
      </c>
      <c r="AA3" s="7">
        <f>$B3 * IFERROR(VLOOKUP("buildings|SO2|Infant mortality", US_national_yearly!$D:$AM, 35, FALSE) / VLOOKUP("buildings|SO2|Infant mortality", US_national_yearly!$D:$AM, 10, FALSE), 1)</f>
        <v>6.2329053230221203E-7</v>
      </c>
      <c r="AB3" s="7">
        <f>$B3 * IFERROR(VLOOKUP("buildings|SO2|Infant mortality", US_national_yearly!$D:$AM, 36, FALSE) / VLOOKUP("buildings|SO2|Infant mortality", US_national_yearly!$D:$AM, 10, FALSE), 1)</f>
        <v>6.195660822459508E-7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2.1291023767542987E-3</v>
      </c>
      <c r="C6" s="7">
        <f>$B6 * IFERROR(VLOOKUP("buildings|SO2|Asthma symptoms cough", US_national_yearly!$D:$AM, 11, FALSE) / VLOOKUP("buildings|SO2|Asthma symptoms cough", US_national_yearly!$D:$AM, 10, FALSE), 1)</f>
        <v>2.1291023767542987E-3</v>
      </c>
      <c r="D6" s="7">
        <f>$B6 * IFERROR(VLOOKUP("buildings|SO2|Asthma symptoms cough", US_national_yearly!$D:$AM, 12, FALSE) / VLOOKUP("buildings|SO2|Asthma symptoms cough", US_national_yearly!$D:$AM, 10, FALSE), 1)</f>
        <v>2.1291023767542987E-3</v>
      </c>
      <c r="E6" s="7">
        <f>$B6 * IFERROR(VLOOKUP("buildings|SO2|Asthma symptoms cough", US_national_yearly!$D:$AM, 13, FALSE) / VLOOKUP("buildings|SO2|Asthma symptoms cough", US_national_yearly!$D:$AM, 10, FALSE), 1)</f>
        <v>2.1291023767542987E-3</v>
      </c>
      <c r="F6" s="7">
        <f>$B6 * IFERROR(VLOOKUP("buildings|SO2|Asthma symptoms cough", US_national_yearly!$D:$AM, 14, FALSE) / VLOOKUP("buildings|SO2|Asthma symptoms cough", US_national_yearly!$D:$AM, 10, FALSE), 1)</f>
        <v>2.1291023767542987E-3</v>
      </c>
      <c r="G6" s="7">
        <f>$B6 * IFERROR(VLOOKUP("buildings|SO2|Asthma symptoms cough", US_national_yearly!$D:$AM, 15, FALSE) / VLOOKUP("buildings|SO2|Asthma symptoms cough", US_national_yearly!$D:$AM, 10, FALSE), 1)</f>
        <v>2.1291023767542987E-3</v>
      </c>
      <c r="H6" s="7">
        <f>$B6 * IFERROR(VLOOKUP("buildings|SO2|Asthma symptoms cough", US_national_yearly!$D:$AM, 16, FALSE) / VLOOKUP("buildings|SO2|Asthma symptoms cough", US_national_yearly!$D:$AM, 10, FALSE), 1)</f>
        <v>2.1291023767542987E-3</v>
      </c>
      <c r="I6" s="7">
        <f>$B6 * IFERROR(VLOOKUP("buildings|SO2|Asthma symptoms cough", US_national_yearly!$D:$AM, 17, FALSE) / VLOOKUP("buildings|SO2|Asthma symptoms cough", US_national_yearly!$D:$AM, 10, FALSE), 1)</f>
        <v>2.1291023767542987E-3</v>
      </c>
      <c r="J6" s="7">
        <f>$B6 * IFERROR(VLOOKUP("buildings|SO2|Asthma symptoms cough", US_national_yearly!$D:$AM, 18, FALSE) / VLOOKUP("buildings|SO2|Asthma symptoms cough", US_national_yearly!$D:$AM, 10, FALSE), 1)</f>
        <v>2.1291023767542987E-3</v>
      </c>
      <c r="K6" s="7">
        <f>$B6 * IFERROR(VLOOKUP("buildings|SO2|Asthma symptoms cough", US_national_yearly!$D:$AM, 19, FALSE) / VLOOKUP("buildings|SO2|Asthma symptoms cough", US_national_yearly!$D:$AM, 10, FALSE), 1)</f>
        <v>2.1291023767542987E-3</v>
      </c>
      <c r="L6" s="7">
        <f>$B6 * IFERROR(VLOOKUP("buildings|SO2|Asthma symptoms cough", US_national_yearly!$D:$AM, 20, FALSE) / VLOOKUP("buildings|SO2|Asthma symptoms cough", US_national_yearly!$D:$AM, 10, FALSE), 1)</f>
        <v>2.1291023767542987E-3</v>
      </c>
      <c r="M6" s="7">
        <f>$B6 * IFERROR(VLOOKUP("buildings|SO2|Asthma symptoms cough", US_national_yearly!$D:$AM, 21, FALSE) / VLOOKUP("buildings|SO2|Asthma symptoms cough", US_national_yearly!$D:$AM, 10, FALSE), 1)</f>
        <v>2.1291023767542987E-3</v>
      </c>
      <c r="N6" s="7">
        <f>$B6 * IFERROR(VLOOKUP("buildings|SO2|Asthma symptoms cough", US_national_yearly!$D:$AM, 22, FALSE) / VLOOKUP("buildings|SO2|Asthma symptoms cough", US_national_yearly!$D:$AM, 10, FALSE), 1)</f>
        <v>2.1291023767542987E-3</v>
      </c>
      <c r="O6" s="7">
        <f>$B6 * IFERROR(VLOOKUP("buildings|SO2|Asthma symptoms cough", US_national_yearly!$D:$AM, 23, FALSE) / VLOOKUP("buildings|SO2|Asthma symptoms cough", US_national_yearly!$D:$AM, 10, FALSE), 1)</f>
        <v>2.1291023767542987E-3</v>
      </c>
      <c r="P6" s="7">
        <f>$B6 * IFERROR(VLOOKUP("buildings|SO2|Asthma symptoms cough", US_national_yearly!$D:$AM, 24, FALSE) / VLOOKUP("buildings|SO2|Asthma symptoms cough", US_national_yearly!$D:$AM, 10, FALSE), 1)</f>
        <v>2.1291023767542987E-3</v>
      </c>
      <c r="Q6" s="7">
        <f>$B6 * IFERROR(VLOOKUP("buildings|SO2|Asthma symptoms cough", US_national_yearly!$D:$AM, 25, FALSE) / VLOOKUP("buildings|SO2|Asthma symptoms cough", US_national_yearly!$D:$AM, 10, FALSE), 1)</f>
        <v>2.1291023767542987E-3</v>
      </c>
      <c r="R6" s="7">
        <f>$B6 * IFERROR(VLOOKUP("buildings|SO2|Asthma symptoms cough", US_national_yearly!$D:$AM, 26, FALSE) / VLOOKUP("buildings|SO2|Asthma symptoms cough", US_national_yearly!$D:$AM, 10, FALSE), 1)</f>
        <v>2.1291023767542987E-3</v>
      </c>
      <c r="S6" s="7">
        <f>$B6 * IFERROR(VLOOKUP("buildings|SO2|Asthma symptoms cough", US_national_yearly!$D:$AM, 27, FALSE) / VLOOKUP("buildings|SO2|Asthma symptoms cough", US_national_yearly!$D:$AM, 10, FALSE), 1)</f>
        <v>2.1291023767542987E-3</v>
      </c>
      <c r="T6" s="7">
        <f>$B6 * IFERROR(VLOOKUP("buildings|SO2|Asthma symptoms cough", US_national_yearly!$D:$AM, 28, FALSE) / VLOOKUP("buildings|SO2|Asthma symptoms cough", US_national_yearly!$D:$AM, 10, FALSE), 1)</f>
        <v>2.1291023767542987E-3</v>
      </c>
      <c r="U6" s="7">
        <f>$B6 * IFERROR(VLOOKUP("buildings|SO2|Asthma symptoms cough", US_national_yearly!$D:$AM, 29, FALSE) / VLOOKUP("buildings|SO2|Asthma symptoms cough", US_national_yearly!$D:$AM, 10, FALSE), 1)</f>
        <v>2.1291023767542987E-3</v>
      </c>
      <c r="V6" s="7">
        <f>$B6 * IFERROR(VLOOKUP("buildings|SO2|Asthma symptoms cough", US_national_yearly!$D:$AM, 30, FALSE) / VLOOKUP("buildings|SO2|Asthma symptoms cough", US_national_yearly!$D:$AM, 10, FALSE), 1)</f>
        <v>2.1291023767542987E-3</v>
      </c>
      <c r="W6" s="7">
        <f>$B6 * IFERROR(VLOOKUP("buildings|SO2|Asthma symptoms cough", US_national_yearly!$D:$AM, 31, FALSE) / VLOOKUP("buildings|SO2|Asthma symptoms cough", US_national_yearly!$D:$AM, 10, FALSE), 1)</f>
        <v>2.1291023767542987E-3</v>
      </c>
      <c r="X6" s="7">
        <f>$B6 * IFERROR(VLOOKUP("buildings|SO2|Asthma symptoms cough", US_national_yearly!$D:$AM, 32, FALSE) / VLOOKUP("buildings|SO2|Asthma symptoms cough", US_national_yearly!$D:$AM, 10, FALSE), 1)</f>
        <v>2.1291023767542987E-3</v>
      </c>
      <c r="Y6" s="7">
        <f>$B6 * IFERROR(VLOOKUP("buildings|SO2|Asthma symptoms cough", US_national_yearly!$D:$AM, 33, FALSE) / VLOOKUP("buildings|SO2|Asthma symptoms cough", US_national_yearly!$D:$AM, 10, FALSE), 1)</f>
        <v>2.1291023767542987E-3</v>
      </c>
      <c r="Z6" s="7">
        <f>$B6 * IFERROR(VLOOKUP("buildings|SO2|Asthma symptoms cough", US_national_yearly!$D:$AM, 34, FALSE) / VLOOKUP("buildings|SO2|Asthma symptoms cough", US_national_yearly!$D:$AM, 10, FALSE), 1)</f>
        <v>2.1291023767542987E-3</v>
      </c>
      <c r="AA6" s="7">
        <f>$B6 * IFERROR(VLOOKUP("buildings|SO2|Asthma symptoms cough", US_national_yearly!$D:$AM, 35, FALSE) / VLOOKUP("buildings|SO2|Asthma symptoms cough", US_national_yearly!$D:$AM, 10, FALSE), 1)</f>
        <v>2.1291023767542987E-3</v>
      </c>
      <c r="AB6" s="7">
        <f>$B6 * IFERROR(VLOOKUP("buildings|SO2|Asthma symptoms cough", US_national_yearly!$D:$AM, 36, FALSE) / VLOOKUP("buildings|SO2|Asthma symptoms cough", US_national_yearly!$D:$AM, 10, FALSE), 1)</f>
        <v>2.1291023767542987E-3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2.8671492797097552E-3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2.8671492797097552E-3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2.8671492797097552E-3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2.8671492797097552E-3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2.8671492797097552E-3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2.8671492797097552E-3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2.8671492797097552E-3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2.8671492797097552E-3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2.8671492797097552E-3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2.8671492797097552E-3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2.8671492797097552E-3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2.8671492797097552E-3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2.8671492797097552E-3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2.8671492797097552E-3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2.8671492797097552E-3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2.8671492797097552E-3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2.8671492797097552E-3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2.8671492797097552E-3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2.8671492797097552E-3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2.8671492797097552E-3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2.8671492797097552E-3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2.8671492797097552E-3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2.8671492797097552E-3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2.8671492797097552E-3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2.8671492797097552E-3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2.8671492797097552E-3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2.8671492797097552E-3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4.3805048497290453E-3</v>
      </c>
      <c r="C8" s="7">
        <f>$B8 * IFERROR(VLOOKUP("buildings|SO2|Asthma symptoms wheeze", US_national_yearly!$D:$AM, 11, FALSE) / VLOOKUP("buildings|SO2|Asthma symptoms wheeze", US_national_yearly!$D:$AM, 10, FALSE), 1)</f>
        <v>4.3805048497290453E-3</v>
      </c>
      <c r="D8" s="7">
        <f>$B8 * IFERROR(VLOOKUP("buildings|SO2|Asthma symptoms wheeze", US_national_yearly!$D:$AM, 12, FALSE) / VLOOKUP("buildings|SO2|Asthma symptoms wheeze", US_national_yearly!$D:$AM, 10, FALSE), 1)</f>
        <v>4.3805048497290453E-3</v>
      </c>
      <c r="E8" s="7">
        <f>$B8 * IFERROR(VLOOKUP("buildings|SO2|Asthma symptoms wheeze", US_national_yearly!$D:$AM, 13, FALSE) / VLOOKUP("buildings|SO2|Asthma symptoms wheeze", US_national_yearly!$D:$AM, 10, FALSE), 1)</f>
        <v>4.3805048497290453E-3</v>
      </c>
      <c r="F8" s="7">
        <f>$B8 * IFERROR(VLOOKUP("buildings|SO2|Asthma symptoms wheeze", US_national_yearly!$D:$AM, 14, FALSE) / VLOOKUP("buildings|SO2|Asthma symptoms wheeze", US_national_yearly!$D:$AM, 10, FALSE), 1)</f>
        <v>4.3805048497290453E-3</v>
      </c>
      <c r="G8" s="7">
        <f>$B8 * IFERROR(VLOOKUP("buildings|SO2|Asthma symptoms wheeze", US_national_yearly!$D:$AM, 15, FALSE) / VLOOKUP("buildings|SO2|Asthma symptoms wheeze", US_national_yearly!$D:$AM, 10, FALSE), 1)</f>
        <v>4.3805048497290453E-3</v>
      </c>
      <c r="H8" s="7">
        <f>$B8 * IFERROR(VLOOKUP("buildings|SO2|Asthma symptoms wheeze", US_national_yearly!$D:$AM, 16, FALSE) / VLOOKUP("buildings|SO2|Asthma symptoms wheeze", US_national_yearly!$D:$AM, 10, FALSE), 1)</f>
        <v>4.3805048497290453E-3</v>
      </c>
      <c r="I8" s="7">
        <f>$B8 * IFERROR(VLOOKUP("buildings|SO2|Asthma symptoms wheeze", US_national_yearly!$D:$AM, 17, FALSE) / VLOOKUP("buildings|SO2|Asthma symptoms wheeze", US_national_yearly!$D:$AM, 10, FALSE), 1)</f>
        <v>4.3805048497290453E-3</v>
      </c>
      <c r="J8" s="7">
        <f>$B8 * IFERROR(VLOOKUP("buildings|SO2|Asthma symptoms wheeze", US_national_yearly!$D:$AM, 18, FALSE) / VLOOKUP("buildings|SO2|Asthma symptoms wheeze", US_national_yearly!$D:$AM, 10, FALSE), 1)</f>
        <v>4.3805048497290453E-3</v>
      </c>
      <c r="K8" s="7">
        <f>$B8 * IFERROR(VLOOKUP("buildings|SO2|Asthma symptoms wheeze", US_national_yearly!$D:$AM, 19, FALSE) / VLOOKUP("buildings|SO2|Asthma symptoms wheeze", US_national_yearly!$D:$AM, 10, FALSE), 1)</f>
        <v>4.3805048497290453E-3</v>
      </c>
      <c r="L8" s="7">
        <f>$B8 * IFERROR(VLOOKUP("buildings|SO2|Asthma symptoms wheeze", US_national_yearly!$D:$AM, 20, FALSE) / VLOOKUP("buildings|SO2|Asthma symptoms wheeze", US_national_yearly!$D:$AM, 10, FALSE), 1)</f>
        <v>4.3805048497290453E-3</v>
      </c>
      <c r="M8" s="7">
        <f>$B8 * IFERROR(VLOOKUP("buildings|SO2|Asthma symptoms wheeze", US_national_yearly!$D:$AM, 21, FALSE) / VLOOKUP("buildings|SO2|Asthma symptoms wheeze", US_national_yearly!$D:$AM, 10, FALSE), 1)</f>
        <v>4.3805048497290453E-3</v>
      </c>
      <c r="N8" s="7">
        <f>$B8 * IFERROR(VLOOKUP("buildings|SO2|Asthma symptoms wheeze", US_national_yearly!$D:$AM, 22, FALSE) / VLOOKUP("buildings|SO2|Asthma symptoms wheeze", US_national_yearly!$D:$AM, 10, FALSE), 1)</f>
        <v>4.3805048497290453E-3</v>
      </c>
      <c r="O8" s="7">
        <f>$B8 * IFERROR(VLOOKUP("buildings|SO2|Asthma symptoms wheeze", US_national_yearly!$D:$AM, 23, FALSE) / VLOOKUP("buildings|SO2|Asthma symptoms wheeze", US_national_yearly!$D:$AM, 10, FALSE), 1)</f>
        <v>4.3805048497290453E-3</v>
      </c>
      <c r="P8" s="7">
        <f>$B8 * IFERROR(VLOOKUP("buildings|SO2|Asthma symptoms wheeze", US_national_yearly!$D:$AM, 24, FALSE) / VLOOKUP("buildings|SO2|Asthma symptoms wheeze", US_national_yearly!$D:$AM, 10, FALSE), 1)</f>
        <v>4.3805048497290453E-3</v>
      </c>
      <c r="Q8" s="7">
        <f>$B8 * IFERROR(VLOOKUP("buildings|SO2|Asthma symptoms wheeze", US_national_yearly!$D:$AM, 25, FALSE) / VLOOKUP("buildings|SO2|Asthma symptoms wheeze", US_national_yearly!$D:$AM, 10, FALSE), 1)</f>
        <v>4.3805048497290453E-3</v>
      </c>
      <c r="R8" s="7">
        <f>$B8 * IFERROR(VLOOKUP("buildings|SO2|Asthma symptoms wheeze", US_national_yearly!$D:$AM, 26, FALSE) / VLOOKUP("buildings|SO2|Asthma symptoms wheeze", US_national_yearly!$D:$AM, 10, FALSE), 1)</f>
        <v>4.3805048497290453E-3</v>
      </c>
      <c r="S8" s="7">
        <f>$B8 * IFERROR(VLOOKUP("buildings|SO2|Asthma symptoms wheeze", US_national_yearly!$D:$AM, 27, FALSE) / VLOOKUP("buildings|SO2|Asthma symptoms wheeze", US_national_yearly!$D:$AM, 10, FALSE), 1)</f>
        <v>4.3805048497290453E-3</v>
      </c>
      <c r="T8" s="7">
        <f>$B8 * IFERROR(VLOOKUP("buildings|SO2|Asthma symptoms wheeze", US_national_yearly!$D:$AM, 28, FALSE) / VLOOKUP("buildings|SO2|Asthma symptoms wheeze", US_national_yearly!$D:$AM, 10, FALSE), 1)</f>
        <v>4.3805048497290453E-3</v>
      </c>
      <c r="U8" s="7">
        <f>$B8 * IFERROR(VLOOKUP("buildings|SO2|Asthma symptoms wheeze", US_national_yearly!$D:$AM, 29, FALSE) / VLOOKUP("buildings|SO2|Asthma symptoms wheeze", US_national_yearly!$D:$AM, 10, FALSE), 1)</f>
        <v>4.3805048497290453E-3</v>
      </c>
      <c r="V8" s="7">
        <f>$B8 * IFERROR(VLOOKUP("buildings|SO2|Asthma symptoms wheeze", US_national_yearly!$D:$AM, 30, FALSE) / VLOOKUP("buildings|SO2|Asthma symptoms wheeze", US_national_yearly!$D:$AM, 10, FALSE), 1)</f>
        <v>4.3805048497290453E-3</v>
      </c>
      <c r="W8" s="7">
        <f>$B8 * IFERROR(VLOOKUP("buildings|SO2|Asthma symptoms wheeze", US_national_yearly!$D:$AM, 31, FALSE) / VLOOKUP("buildings|SO2|Asthma symptoms wheeze", US_national_yearly!$D:$AM, 10, FALSE), 1)</f>
        <v>4.3805048497290453E-3</v>
      </c>
      <c r="X8" s="7">
        <f>$B8 * IFERROR(VLOOKUP("buildings|SO2|Asthma symptoms wheeze", US_national_yearly!$D:$AM, 32, FALSE) / VLOOKUP("buildings|SO2|Asthma symptoms wheeze", US_national_yearly!$D:$AM, 10, FALSE), 1)</f>
        <v>4.3805048497290453E-3</v>
      </c>
      <c r="Y8" s="7">
        <f>$B8 * IFERROR(VLOOKUP("buildings|SO2|Asthma symptoms wheeze", US_national_yearly!$D:$AM, 33, FALSE) / VLOOKUP("buildings|SO2|Asthma symptoms wheeze", US_national_yearly!$D:$AM, 10, FALSE), 1)</f>
        <v>4.3805048497290453E-3</v>
      </c>
      <c r="Z8" s="7">
        <f>$B8 * IFERROR(VLOOKUP("buildings|SO2|Asthma symptoms wheeze", US_national_yearly!$D:$AM, 34, FALSE) / VLOOKUP("buildings|SO2|Asthma symptoms wheeze", US_national_yearly!$D:$AM, 10, FALSE), 1)</f>
        <v>4.3805048497290453E-3</v>
      </c>
      <c r="AA8" s="7">
        <f>$B8 * IFERROR(VLOOKUP("buildings|SO2|Asthma symptoms wheeze", US_national_yearly!$D:$AM, 35, FALSE) / VLOOKUP("buildings|SO2|Asthma symptoms wheeze", US_national_yearly!$D:$AM, 10, FALSE), 1)</f>
        <v>4.3805048497290453E-3</v>
      </c>
      <c r="AB8" s="7">
        <f>$B8 * IFERROR(VLOOKUP("buildings|SO2|Asthma symptoms wheeze", US_national_yearly!$D:$AM, 36, FALSE) / VLOOKUP("buildings|SO2|Asthma symptoms wheeze", US_national_yearly!$D:$AM, 10, FALSE), 1)</f>
        <v>4.3805048497290453E-3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5.5517262509788738E-5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5.5845168726410615E-5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5.6173074943032492E-5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5.6500981159654368E-5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5.6828887376276238E-5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5.7186263840801553E-5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5.7543640305326868E-5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5.7895338172265405E-5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5.8247036039203949E-5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5.8598733906142486E-5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5.8950431773081023E-5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5.9302129640019567E-5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5.9558927303213506E-5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5.9815724966407438E-5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6.0072522629601377E-5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6.0329320292795309E-5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6.0586117955989247E-5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6.0830977542209328E-5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6.1075837128429423E-5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6.1320696714649517E-5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6.1565556300869598E-5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6.1810415887089692E-5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6.2043096381229578E-5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6.2275776875369491E-5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6.2508457369509377E-5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6.2741137863649277E-5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6.2973818357789176E-5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2.3772102755307517E-4</v>
      </c>
      <c r="C13" s="7">
        <f>$B13 * IFERROR(VLOOKUP("buildings|SO2|Non-fatal heart attacks", US_national_yearly!$D:$AM, 11, FALSE) / VLOOKUP("buildings|SO2|Non-fatal heart attacks", US_national_yearly!$D:$AM, 10, FALSE), 1)</f>
        <v>2.4470190971276893E-4</v>
      </c>
      <c r="D13" s="7">
        <f>$B13 * IFERROR(VLOOKUP("buildings|SO2|Non-fatal heart attacks", US_national_yearly!$D:$AM, 12, FALSE) / VLOOKUP("buildings|SO2|Non-fatal heart attacks", US_national_yearly!$D:$AM, 10, FALSE), 1)</f>
        <v>2.516827918724626E-4</v>
      </c>
      <c r="E13" s="7">
        <f>$B13 * IFERROR(VLOOKUP("buildings|SO2|Non-fatal heart attacks", US_national_yearly!$D:$AM, 13, FALSE) / VLOOKUP("buildings|SO2|Non-fatal heart attacks", US_national_yearly!$D:$AM, 10, FALSE), 1)</f>
        <v>2.5866367403215633E-4</v>
      </c>
      <c r="F13" s="7">
        <f>$B13 * IFERROR(VLOOKUP("buildings|SO2|Non-fatal heart attacks", US_national_yearly!$D:$AM, 14, FALSE) / VLOOKUP("buildings|SO2|Non-fatal heart attacks", US_national_yearly!$D:$AM, 10, FALSE), 1)</f>
        <v>2.6564455619185006E-4</v>
      </c>
      <c r="G13" s="7">
        <f>$B13 * IFERROR(VLOOKUP("buildings|SO2|Non-fatal heart attacks", US_national_yearly!$D:$AM, 15, FALSE) / VLOOKUP("buildings|SO2|Non-fatal heart attacks", US_national_yearly!$D:$AM, 10, FALSE), 1)</f>
        <v>2.7222865394715523E-4</v>
      </c>
      <c r="H13" s="7">
        <f>$B13 * IFERROR(VLOOKUP("buildings|SO2|Non-fatal heart attacks", US_national_yearly!$D:$AM, 16, FALSE) / VLOOKUP("buildings|SO2|Non-fatal heart attacks", US_national_yearly!$D:$AM, 10, FALSE), 1)</f>
        <v>2.7881275170246045E-4</v>
      </c>
      <c r="I13" s="7">
        <f>$B13 * IFERROR(VLOOKUP("buildings|SO2|Non-fatal heart attacks", US_national_yearly!$D:$AM, 17, FALSE) / VLOOKUP("buildings|SO2|Non-fatal heart attacks", US_national_yearly!$D:$AM, 10, FALSE), 1)</f>
        <v>2.8411251397666217E-4</v>
      </c>
      <c r="J13" s="7">
        <f>$B13 * IFERROR(VLOOKUP("buildings|SO2|Non-fatal heart attacks", US_national_yearly!$D:$AM, 18, FALSE) / VLOOKUP("buildings|SO2|Non-fatal heart attacks", US_national_yearly!$D:$AM, 10, FALSE), 1)</f>
        <v>2.8941227625086394E-4</v>
      </c>
      <c r="K13" s="7">
        <f>$B13 * IFERROR(VLOOKUP("buildings|SO2|Non-fatal heart attacks", US_national_yearly!$D:$AM, 19, FALSE) / VLOOKUP("buildings|SO2|Non-fatal heart attacks", US_national_yearly!$D:$AM, 10, FALSE), 1)</f>
        <v>2.9471203852506577E-4</v>
      </c>
      <c r="L13" s="7">
        <f>$B13 * IFERROR(VLOOKUP("buildings|SO2|Non-fatal heart attacks", US_national_yearly!$D:$AM, 20, FALSE) / VLOOKUP("buildings|SO2|Non-fatal heart attacks", US_national_yearly!$D:$AM, 10, FALSE), 1)</f>
        <v>3.0001180079926759E-4</v>
      </c>
      <c r="M13" s="7">
        <f>$B13 * IFERROR(VLOOKUP("buildings|SO2|Non-fatal heart attacks", US_national_yearly!$D:$AM, 21, FALSE) / VLOOKUP("buildings|SO2|Non-fatal heart attacks", US_national_yearly!$D:$AM, 10, FALSE), 1)</f>
        <v>3.0531156307346937E-4</v>
      </c>
      <c r="N13" s="7">
        <f>$B13 * IFERROR(VLOOKUP("buildings|SO2|Non-fatal heart attacks", US_national_yearly!$D:$AM, 22, FALSE) / VLOOKUP("buildings|SO2|Non-fatal heart attacks", US_national_yearly!$D:$AM, 10, FALSE), 1)</f>
        <v>3.0875135515330484E-4</v>
      </c>
      <c r="O13" s="7">
        <f>$B13 * IFERROR(VLOOKUP("buildings|SO2|Non-fatal heart attacks", US_national_yearly!$D:$AM, 23, FALSE) / VLOOKUP("buildings|SO2|Non-fatal heart attacks", US_national_yearly!$D:$AM, 10, FALSE), 1)</f>
        <v>3.1219114723314041E-4</v>
      </c>
      <c r="P13" s="7">
        <f>$B13 * IFERROR(VLOOKUP("buildings|SO2|Non-fatal heart attacks", US_national_yearly!$D:$AM, 24, FALSE) / VLOOKUP("buildings|SO2|Non-fatal heart attacks", US_national_yearly!$D:$AM, 10, FALSE), 1)</f>
        <v>3.1563093931297588E-4</v>
      </c>
      <c r="Q13" s="7">
        <f>$B13 * IFERROR(VLOOKUP("buildings|SO2|Non-fatal heart attacks", US_national_yearly!$D:$AM, 25, FALSE) / VLOOKUP("buildings|SO2|Non-fatal heart attacks", US_national_yearly!$D:$AM, 10, FALSE), 1)</f>
        <v>3.1907073139281135E-4</v>
      </c>
      <c r="R13" s="7">
        <f>$B13 * IFERROR(VLOOKUP("buildings|SO2|Non-fatal heart attacks", US_national_yearly!$D:$AM, 26, FALSE) / VLOOKUP("buildings|SO2|Non-fatal heart attacks", US_national_yearly!$D:$AM, 10, FALSE), 1)</f>
        <v>3.2251052347264693E-4</v>
      </c>
      <c r="S13" s="7">
        <f>$B13 * IFERROR(VLOOKUP("buildings|SO2|Non-fatal heart attacks", US_national_yearly!$D:$AM, 27, FALSE) / VLOOKUP("buildings|SO2|Non-fatal heart attacks", US_national_yearly!$D:$AM, 10, FALSE), 1)</f>
        <v>3.2430677726450125E-4</v>
      </c>
      <c r="T13" s="7">
        <f>$B13 * IFERROR(VLOOKUP("buildings|SO2|Non-fatal heart attacks", US_national_yearly!$D:$AM, 28, FALSE) / VLOOKUP("buildings|SO2|Non-fatal heart attacks", US_national_yearly!$D:$AM, 10, FALSE), 1)</f>
        <v>3.2610303105635557E-4</v>
      </c>
      <c r="U13" s="7">
        <f>$B13 * IFERROR(VLOOKUP("buildings|SO2|Non-fatal heart attacks", US_national_yearly!$D:$AM, 29, FALSE) / VLOOKUP("buildings|SO2|Non-fatal heart attacks", US_national_yearly!$D:$AM, 10, FALSE), 1)</f>
        <v>3.2789928484820984E-4</v>
      </c>
      <c r="V13" s="7">
        <f>$B13 * IFERROR(VLOOKUP("buildings|SO2|Non-fatal heart attacks", US_national_yearly!$D:$AM, 30, FALSE) / VLOOKUP("buildings|SO2|Non-fatal heart attacks", US_national_yearly!$D:$AM, 10, FALSE), 1)</f>
        <v>3.2969553864006416E-4</v>
      </c>
      <c r="W13" s="7">
        <f>$B13 * IFERROR(VLOOKUP("buildings|SO2|Non-fatal heart attacks", US_national_yearly!$D:$AM, 31, FALSE) / VLOOKUP("buildings|SO2|Non-fatal heart attacks", US_national_yearly!$D:$AM, 10, FALSE), 1)</f>
        <v>3.3149179243191848E-4</v>
      </c>
      <c r="X13" s="7">
        <f>$B13 * IFERROR(VLOOKUP("buildings|SO2|Non-fatal heart attacks", US_national_yearly!$D:$AM, 32, FALSE) / VLOOKUP("buildings|SO2|Non-fatal heart attacks", US_national_yearly!$D:$AM, 10, FALSE), 1)</f>
        <v>3.3284845520254515E-4</v>
      </c>
      <c r="Y13" s="7">
        <f>$B13 * IFERROR(VLOOKUP("buildings|SO2|Non-fatal heart attacks", US_national_yearly!$D:$AM, 33, FALSE) / VLOOKUP("buildings|SO2|Non-fatal heart attacks", US_national_yearly!$D:$AM, 10, FALSE), 1)</f>
        <v>3.3420511797317183E-4</v>
      </c>
      <c r="Z13" s="7">
        <f>$B13 * IFERROR(VLOOKUP("buildings|SO2|Non-fatal heart attacks", US_national_yearly!$D:$AM, 34, FALSE) / VLOOKUP("buildings|SO2|Non-fatal heart attacks", US_national_yearly!$D:$AM, 10, FALSE), 1)</f>
        <v>3.3556178074379845E-4</v>
      </c>
      <c r="AA13" s="7">
        <f>$B13 * IFERROR(VLOOKUP("buildings|SO2|Non-fatal heart attacks", US_national_yearly!$D:$AM, 35, FALSE) / VLOOKUP("buildings|SO2|Non-fatal heart attacks", US_national_yearly!$D:$AM, 10, FALSE), 1)</f>
        <v>3.3691844351442513E-4</v>
      </c>
      <c r="AB13" s="7">
        <f>$B13 * IFERROR(VLOOKUP("buildings|SO2|Non-fatal heart attacks", US_national_yearly!$D:$AM, 36, FALSE) / VLOOKUP("buildings|SO2|Non-fatal heart attacks", US_national_yearly!$D:$AM, 10, FALSE), 1)</f>
        <v>3.3827510628505175E-4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0.23802047107196345</v>
      </c>
      <c r="C14" s="7">
        <f>$B14 * IFERROR(VLOOKUP("buildings|SO2|Minor restricted activity days", US_national_yearly!$D:$AM, 11, FALSE) / VLOOKUP("buildings|SO2|Minor restricted activity days", US_national_yearly!$D:$AM, 10, FALSE), 1)</f>
        <v>0.23862300735597239</v>
      </c>
      <c r="D14" s="7">
        <f>$B14 * IFERROR(VLOOKUP("buildings|SO2|Minor restricted activity days", US_national_yearly!$D:$AM, 12, FALSE) / VLOOKUP("buildings|SO2|Minor restricted activity days", US_national_yearly!$D:$AM, 10, FALSE), 1)</f>
        <v>0.23922554363998141</v>
      </c>
      <c r="E14" s="7">
        <f>$B14 * IFERROR(VLOOKUP("buildings|SO2|Minor restricted activity days", US_national_yearly!$D:$AM, 13, FALSE) / VLOOKUP("buildings|SO2|Minor restricted activity days", US_national_yearly!$D:$AM, 10, FALSE), 1)</f>
        <v>0.23982807992399041</v>
      </c>
      <c r="F14" s="7">
        <f>$B14 * IFERROR(VLOOKUP("buildings|SO2|Minor restricted activity days", US_national_yearly!$D:$AM, 14, FALSE) / VLOOKUP("buildings|SO2|Minor restricted activity days", US_national_yearly!$D:$AM, 10, FALSE), 1)</f>
        <v>0.24043061620799938</v>
      </c>
      <c r="G14" s="7">
        <f>$B14 * IFERROR(VLOOKUP("buildings|SO2|Minor restricted activity days", US_national_yearly!$D:$AM, 15, FALSE) / VLOOKUP("buildings|SO2|Minor restricted activity days", US_national_yearly!$D:$AM, 10, FALSE), 1)</f>
        <v>0.24131658328474478</v>
      </c>
      <c r="H14" s="7">
        <f>$B14 * IFERROR(VLOOKUP("buildings|SO2|Minor restricted activity days", US_national_yearly!$D:$AM, 16, FALSE) / VLOOKUP("buildings|SO2|Minor restricted activity days", US_national_yearly!$D:$AM, 10, FALSE), 1)</f>
        <v>0.24220255036149022</v>
      </c>
      <c r="I14" s="7">
        <f>$B14 * IFERROR(VLOOKUP("buildings|SO2|Minor restricted activity days", US_national_yearly!$D:$AM, 17, FALSE) / VLOOKUP("buildings|SO2|Minor restricted activity days", US_national_yearly!$D:$AM, 10, FALSE), 1)</f>
        <v>0.24371144145299145</v>
      </c>
      <c r="J14" s="7">
        <f>$B14 * IFERROR(VLOOKUP("buildings|SO2|Minor restricted activity days", US_national_yearly!$D:$AM, 18, FALSE) / VLOOKUP("buildings|SO2|Minor restricted activity days", US_national_yearly!$D:$AM, 10, FALSE), 1)</f>
        <v>0.24522033254449274</v>
      </c>
      <c r="K14" s="7">
        <f>$B14 * IFERROR(VLOOKUP("buildings|SO2|Minor restricted activity days", US_national_yearly!$D:$AM, 19, FALSE) / VLOOKUP("buildings|SO2|Minor restricted activity days", US_national_yearly!$D:$AM, 10, FALSE), 1)</f>
        <v>0.246729223635994</v>
      </c>
      <c r="L14" s="7">
        <f>$B14 * IFERROR(VLOOKUP("buildings|SO2|Minor restricted activity days", US_national_yearly!$D:$AM, 20, FALSE) / VLOOKUP("buildings|SO2|Minor restricted activity days", US_national_yearly!$D:$AM, 10, FALSE), 1)</f>
        <v>0.24823811472749524</v>
      </c>
      <c r="M14" s="7">
        <f>$B14 * IFERROR(VLOOKUP("buildings|SO2|Minor restricted activity days", US_national_yearly!$D:$AM, 21, FALSE) / VLOOKUP("buildings|SO2|Minor restricted activity days", US_national_yearly!$D:$AM, 10, FALSE), 1)</f>
        <v>0.24974700581899648</v>
      </c>
      <c r="N14" s="7">
        <f>$B14 * IFERROR(VLOOKUP("buildings|SO2|Minor restricted activity days", US_national_yearly!$D:$AM, 22, FALSE) / VLOOKUP("buildings|SO2|Minor restricted activity days", US_national_yearly!$D:$AM, 10, FALSE), 1)</f>
        <v>0.25181033509562289</v>
      </c>
      <c r="O14" s="7">
        <f>$B14 * IFERROR(VLOOKUP("buildings|SO2|Minor restricted activity days", US_national_yearly!$D:$AM, 23, FALSE) / VLOOKUP("buildings|SO2|Minor restricted activity days", US_national_yearly!$D:$AM, 10, FALSE), 1)</f>
        <v>0.25387366437224929</v>
      </c>
      <c r="P14" s="7">
        <f>$B14 * IFERROR(VLOOKUP("buildings|SO2|Minor restricted activity days", US_national_yearly!$D:$AM, 24, FALSE) / VLOOKUP("buildings|SO2|Minor restricted activity days", US_national_yearly!$D:$AM, 10, FALSE), 1)</f>
        <v>0.25593699364887568</v>
      </c>
      <c r="Q14" s="7">
        <f>$B14 * IFERROR(VLOOKUP("buildings|SO2|Minor restricted activity days", US_national_yearly!$D:$AM, 25, FALSE) / VLOOKUP("buildings|SO2|Minor restricted activity days", US_national_yearly!$D:$AM, 10, FALSE), 1)</f>
        <v>0.25800032292550207</v>
      </c>
      <c r="R14" s="7">
        <f>$B14 * IFERROR(VLOOKUP("buildings|SO2|Minor restricted activity days", US_national_yearly!$D:$AM, 26, FALSE) / VLOOKUP("buildings|SO2|Minor restricted activity days", US_national_yearly!$D:$AM, 10, FALSE), 1)</f>
        <v>0.26006365220212846</v>
      </c>
      <c r="S14" s="7">
        <f>$B14 * IFERROR(VLOOKUP("buildings|SO2|Minor restricted activity days", US_national_yearly!$D:$AM, 27, FALSE) / VLOOKUP("buildings|SO2|Minor restricted activity days", US_national_yearly!$D:$AM, 10, FALSE), 1)</f>
        <v>0.26216708244473302</v>
      </c>
      <c r="T14" s="7">
        <f>$B14 * IFERROR(VLOOKUP("buildings|SO2|Minor restricted activity days", US_national_yearly!$D:$AM, 28, FALSE) / VLOOKUP("buildings|SO2|Minor restricted activity days", US_national_yearly!$D:$AM, 10, FALSE), 1)</f>
        <v>0.26427051268733759</v>
      </c>
      <c r="U14" s="7">
        <f>$B14 * IFERROR(VLOOKUP("buildings|SO2|Minor restricted activity days", US_national_yearly!$D:$AM, 29, FALSE) / VLOOKUP("buildings|SO2|Minor restricted activity days", US_national_yearly!$D:$AM, 10, FALSE), 1)</f>
        <v>0.26637394292994215</v>
      </c>
      <c r="V14" s="7">
        <f>$B14 * IFERROR(VLOOKUP("buildings|SO2|Minor restricted activity days", US_national_yearly!$D:$AM, 30, FALSE) / VLOOKUP("buildings|SO2|Minor restricted activity days", US_national_yearly!$D:$AM, 10, FALSE), 1)</f>
        <v>0.26847737317254672</v>
      </c>
      <c r="W14" s="7">
        <f>$B14 * IFERROR(VLOOKUP("buildings|SO2|Minor restricted activity days", US_national_yearly!$D:$AM, 31, FALSE) / VLOOKUP("buildings|SO2|Minor restricted activity days", US_national_yearly!$D:$AM, 10, FALSE), 1)</f>
        <v>0.27058080341515134</v>
      </c>
      <c r="X14" s="7">
        <f>$B14 * IFERROR(VLOOKUP("buildings|SO2|Minor restricted activity days", US_national_yearly!$D:$AM, 32, FALSE) / VLOOKUP("buildings|SO2|Minor restricted activity days", US_national_yearly!$D:$AM, 10, FALSE), 1)</f>
        <v>0.27243064858596461</v>
      </c>
      <c r="Y14" s="7">
        <f>$B14 * IFERROR(VLOOKUP("buildings|SO2|Minor restricted activity days", US_national_yearly!$D:$AM, 33, FALSE) / VLOOKUP("buildings|SO2|Minor restricted activity days", US_national_yearly!$D:$AM, 10, FALSE), 1)</f>
        <v>0.27428049375677793</v>
      </c>
      <c r="Z14" s="7">
        <f>$B14 * IFERROR(VLOOKUP("buildings|SO2|Minor restricted activity days", US_national_yearly!$D:$AM, 34, FALSE) / VLOOKUP("buildings|SO2|Minor restricted activity days", US_national_yearly!$D:$AM, 10, FALSE), 1)</f>
        <v>0.27613033892759126</v>
      </c>
      <c r="AA14" s="7">
        <f>$B14 * IFERROR(VLOOKUP("buildings|SO2|Minor restricted activity days", US_national_yearly!$D:$AM, 35, FALSE) / VLOOKUP("buildings|SO2|Minor restricted activity days", US_national_yearly!$D:$AM, 10, FALSE), 1)</f>
        <v>0.27798018409840458</v>
      </c>
      <c r="AB14" s="7">
        <f>$B14 * IFERROR(VLOOKUP("buildings|SO2|Minor restricted activity days", US_national_yearly!$D:$AM, 36, FALSE) / VLOOKUP("buildings|SO2|Minor restricted activity days", US_national_yearly!$D:$AM, 10, FALSE), 1)</f>
        <v>0.27983002926921785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4.0458046822033654E-2</v>
      </c>
      <c r="C15" s="7">
        <f>$B15 * IFERROR(VLOOKUP("buildings|SO2|Work loss days", US_national_yearly!$D:$AM, 11, FALSE) / VLOOKUP("buildings|SO2|Work loss days", US_national_yearly!$D:$AM, 10, FALSE), 1)</f>
        <v>4.0589494357286017E-2</v>
      </c>
      <c r="D15" s="7">
        <f>$B15 * IFERROR(VLOOKUP("buildings|SO2|Work loss days", US_national_yearly!$D:$AM, 12, FALSE) / VLOOKUP("buildings|SO2|Work loss days", US_national_yearly!$D:$AM, 10, FALSE), 1)</f>
        <v>4.072094189253838E-2</v>
      </c>
      <c r="E15" s="7">
        <f>$B15 * IFERROR(VLOOKUP("buildings|SO2|Work loss days", US_national_yearly!$D:$AM, 13, FALSE) / VLOOKUP("buildings|SO2|Work loss days", US_national_yearly!$D:$AM, 10, FALSE), 1)</f>
        <v>4.0852389427790743E-2</v>
      </c>
      <c r="F15" s="7">
        <f>$B15 * IFERROR(VLOOKUP("buildings|SO2|Work loss days", US_national_yearly!$D:$AM, 14, FALSE) / VLOOKUP("buildings|SO2|Work loss days", US_national_yearly!$D:$AM, 10, FALSE), 1)</f>
        <v>4.0983836963043092E-2</v>
      </c>
      <c r="G15" s="7">
        <f>$B15 * IFERROR(VLOOKUP("buildings|SO2|Work loss days", US_national_yearly!$D:$AM, 15, FALSE) / VLOOKUP("buildings|SO2|Work loss days", US_national_yearly!$D:$AM, 10, FALSE), 1)</f>
        <v>4.1155514718208011E-2</v>
      </c>
      <c r="H15" s="7">
        <f>$B15 * IFERROR(VLOOKUP("buildings|SO2|Work loss days", US_national_yearly!$D:$AM, 16, FALSE) / VLOOKUP("buildings|SO2|Work loss days", US_national_yearly!$D:$AM, 10, FALSE), 1)</f>
        <v>4.1327192473372944E-2</v>
      </c>
      <c r="I15" s="7">
        <f>$B15 * IFERROR(VLOOKUP("buildings|SO2|Work loss days", US_national_yearly!$D:$AM, 17, FALSE) / VLOOKUP("buildings|SO2|Work loss days", US_national_yearly!$D:$AM, 10, FALSE), 1)</f>
        <v>4.1578194960599911E-2</v>
      </c>
      <c r="J15" s="7">
        <f>$B15 * IFERROR(VLOOKUP("buildings|SO2|Work loss days", US_national_yearly!$D:$AM, 18, FALSE) / VLOOKUP("buildings|SO2|Work loss days", US_national_yearly!$D:$AM, 10, FALSE), 1)</f>
        <v>4.1829197447826864E-2</v>
      </c>
      <c r="K15" s="7">
        <f>$B15 * IFERROR(VLOOKUP("buildings|SO2|Work loss days", US_national_yearly!$D:$AM, 19, FALSE) / VLOOKUP("buildings|SO2|Work loss days", US_national_yearly!$D:$AM, 10, FALSE), 1)</f>
        <v>4.2080199935053832E-2</v>
      </c>
      <c r="L15" s="7">
        <f>$B15 * IFERROR(VLOOKUP("buildings|SO2|Work loss days", US_national_yearly!$D:$AM, 20, FALSE) / VLOOKUP("buildings|SO2|Work loss days", US_national_yearly!$D:$AM, 10, FALSE), 1)</f>
        <v>4.2331202422280792E-2</v>
      </c>
      <c r="M15" s="7">
        <f>$B15 * IFERROR(VLOOKUP("buildings|SO2|Work loss days", US_national_yearly!$D:$AM, 21, FALSE) / VLOOKUP("buildings|SO2|Work loss days", US_national_yearly!$D:$AM, 10, FALSE), 1)</f>
        <v>4.2582204909507752E-2</v>
      </c>
      <c r="N15" s="7">
        <f>$B15 * IFERROR(VLOOKUP("buildings|SO2|Work loss days", US_national_yearly!$D:$AM, 22, FALSE) / VLOOKUP("buildings|SO2|Work loss days", US_national_yearly!$D:$AM, 10, FALSE), 1)</f>
        <v>4.2896957916747039E-2</v>
      </c>
      <c r="O15" s="7">
        <f>$B15 * IFERROR(VLOOKUP("buildings|SO2|Work loss days", US_national_yearly!$D:$AM, 23, FALSE) / VLOOKUP("buildings|SO2|Work loss days", US_national_yearly!$D:$AM, 10, FALSE), 1)</f>
        <v>4.3211710923986318E-2</v>
      </c>
      <c r="P15" s="7">
        <f>$B15 * IFERROR(VLOOKUP("buildings|SO2|Work loss days", US_national_yearly!$D:$AM, 24, FALSE) / VLOOKUP("buildings|SO2|Work loss days", US_national_yearly!$D:$AM, 10, FALSE), 1)</f>
        <v>4.3526463931225591E-2</v>
      </c>
      <c r="Q15" s="7">
        <f>$B15 * IFERROR(VLOOKUP("buildings|SO2|Work loss days", US_national_yearly!$D:$AM, 25, FALSE) / VLOOKUP("buildings|SO2|Work loss days", US_national_yearly!$D:$AM, 10, FALSE), 1)</f>
        <v>4.3841216938464884E-2</v>
      </c>
      <c r="R15" s="7">
        <f>$B15 * IFERROR(VLOOKUP("buildings|SO2|Work loss days", US_national_yearly!$D:$AM, 26, FALSE) / VLOOKUP("buildings|SO2|Work loss days", US_national_yearly!$D:$AM, 10, FALSE), 1)</f>
        <v>4.415596994570415E-2</v>
      </c>
      <c r="S15" s="7">
        <f>$B15 * IFERROR(VLOOKUP("buildings|SO2|Work loss days", US_national_yearly!$D:$AM, 27, FALSE) / VLOOKUP("buildings|SO2|Work loss days", US_national_yearly!$D:$AM, 10, FALSE), 1)</f>
        <v>4.4507576625430631E-2</v>
      </c>
      <c r="T15" s="7">
        <f>$B15 * IFERROR(VLOOKUP("buildings|SO2|Work loss days", US_national_yearly!$D:$AM, 28, FALSE) / VLOOKUP("buildings|SO2|Work loss days", US_national_yearly!$D:$AM, 10, FALSE), 1)</f>
        <v>4.4859183305157112E-2</v>
      </c>
      <c r="U15" s="7">
        <f>$B15 * IFERROR(VLOOKUP("buildings|SO2|Work loss days", US_national_yearly!$D:$AM, 29, FALSE) / VLOOKUP("buildings|SO2|Work loss days", US_national_yearly!$D:$AM, 10, FALSE), 1)</f>
        <v>4.5210789984883593E-2</v>
      </c>
      <c r="V15" s="7">
        <f>$B15 * IFERROR(VLOOKUP("buildings|SO2|Work loss days", US_national_yearly!$D:$AM, 30, FALSE) / VLOOKUP("buildings|SO2|Work loss days", US_national_yearly!$D:$AM, 10, FALSE), 1)</f>
        <v>4.5562396664610059E-2</v>
      </c>
      <c r="W15" s="7">
        <f>$B15 * IFERROR(VLOOKUP("buildings|SO2|Work loss days", US_national_yearly!$D:$AM, 31, FALSE) / VLOOKUP("buildings|SO2|Work loss days", US_national_yearly!$D:$AM, 10, FALSE), 1)</f>
        <v>4.591400334433654E-2</v>
      </c>
      <c r="X15" s="7">
        <f>$B15 * IFERROR(VLOOKUP("buildings|SO2|Work loss days", US_national_yearly!$D:$AM, 32, FALSE) / VLOOKUP("buildings|SO2|Work loss days", US_national_yearly!$D:$AM, 10, FALSE), 1)</f>
        <v>4.6229704697462862E-2</v>
      </c>
      <c r="Y15" s="7">
        <f>$B15 * IFERROR(VLOOKUP("buildings|SO2|Work loss days", US_national_yearly!$D:$AM, 33, FALSE) / VLOOKUP("buildings|SO2|Work loss days", US_national_yearly!$D:$AM, 10, FALSE), 1)</f>
        <v>4.6545406050589176E-2</v>
      </c>
      <c r="Z15" s="7">
        <f>$B15 * IFERROR(VLOOKUP("buildings|SO2|Work loss days", US_national_yearly!$D:$AM, 34, FALSE) / VLOOKUP("buildings|SO2|Work loss days", US_national_yearly!$D:$AM, 10, FALSE), 1)</f>
        <v>4.6861107403715484E-2</v>
      </c>
      <c r="AA15" s="7">
        <f>$B15 * IFERROR(VLOOKUP("buildings|SO2|Work loss days", US_national_yearly!$D:$AM, 35, FALSE) / VLOOKUP("buildings|SO2|Work loss days", US_national_yearly!$D:$AM, 10, FALSE), 1)</f>
        <v>4.7176808756841798E-2</v>
      </c>
      <c r="AB15" s="7">
        <f>$B15 * IFERROR(VLOOKUP("buildings|SO2|Work loss days", US_national_yearly!$D:$AM, 36, FALSE) / VLOOKUP("buildings|SO2|Work loss days", US_national_yearly!$D:$AM, 10, FALSE), 1)</f>
        <v>4.7492510109968106E-2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6.8437632900926243E-5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7.0507827393128018E-5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7.2578021885329793E-5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7.4648216377531582E-5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7.6718410869733357E-5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7.8701533191289559E-5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8.0684655512845748E-5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8.2384187347471117E-5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8.4083719182096459E-5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8.5783251016721828E-5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8.7482782851347184E-5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8.9182314685972512E-5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9.0323516252415243E-5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9.146471781885796E-5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9.2605919385300691E-5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9.3747120951743394E-5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9.4888322518186112E-5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9.5488456314414427E-5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9.6088590110642743E-5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9.6688723906871045E-5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9.7288857703099361E-5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9.788899149932765E-5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9.8291982692621434E-5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9.8694973885915191E-5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9.9097965079208961E-5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9.9500956272502732E-5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9.9903947465796488E-5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7.0600389981215735E-3</v>
      </c>
      <c r="C2" s="7">
        <f>$B2 * IFERROR(VLOOKUP("industry|PM25|Premature mortality", US_national_yearly!$D:$AM, 11, FALSE) / VLOOKUP("industry|PM25|Premature mortality", US_national_yearly!$D:$AM, 10, FALSE), 1)</f>
        <v>7.1479595551104929E-3</v>
      </c>
      <c r="D2" s="7">
        <f>$B2 * IFERROR(VLOOKUP("industry|PM25|Premature mortality", US_national_yearly!$D:$AM, 12, FALSE) / VLOOKUP("industry|PM25|Premature mortality", US_national_yearly!$D:$AM, 10, FALSE), 1)</f>
        <v>7.2358801120994106E-3</v>
      </c>
      <c r="E2" s="7">
        <f>$B2 * IFERROR(VLOOKUP("industry|PM25|Premature mortality", US_national_yearly!$D:$AM, 13, FALSE) / VLOOKUP("industry|PM25|Premature mortality", US_national_yearly!$D:$AM, 10, FALSE), 1)</f>
        <v>7.32380066908833E-3</v>
      </c>
      <c r="F2" s="7">
        <f>$B2 * IFERROR(VLOOKUP("industry|PM25|Premature mortality", US_national_yearly!$D:$AM, 14, FALSE) / VLOOKUP("industry|PM25|Premature mortality", US_national_yearly!$D:$AM, 10, FALSE), 1)</f>
        <v>7.4117212260772477E-3</v>
      </c>
      <c r="G2" s="7">
        <f>$B2 * IFERROR(VLOOKUP("industry|PM25|Premature mortality", US_national_yearly!$D:$AM, 15, FALSE) / VLOOKUP("industry|PM25|Premature mortality", US_national_yearly!$D:$AM, 10, FALSE), 1)</f>
        <v>7.5827693040777964E-3</v>
      </c>
      <c r="H2" s="7">
        <f>$B2 * IFERROR(VLOOKUP("industry|PM25|Premature mortality", US_national_yearly!$D:$AM, 16, FALSE) / VLOOKUP("industry|PM25|Premature mortality", US_national_yearly!$D:$AM, 10, FALSE), 1)</f>
        <v>7.7538173820783452E-3</v>
      </c>
      <c r="I2" s="7">
        <f>$B2 * IFERROR(VLOOKUP("industry|PM25|Premature mortality", US_national_yearly!$D:$AM, 17, FALSE) / VLOOKUP("industry|PM25|Premature mortality", US_national_yearly!$D:$AM, 10, FALSE), 1)</f>
        <v>7.8667598593628943E-3</v>
      </c>
      <c r="J2" s="7">
        <f>$B2 * IFERROR(VLOOKUP("industry|PM25|Premature mortality", US_national_yearly!$D:$AM, 18, FALSE) / VLOOKUP("industry|PM25|Premature mortality", US_national_yearly!$D:$AM, 10, FALSE), 1)</f>
        <v>7.9797023366474425E-3</v>
      </c>
      <c r="K2" s="7">
        <f>$B2 * IFERROR(VLOOKUP("industry|PM25|Premature mortality", US_national_yearly!$D:$AM, 19, FALSE) / VLOOKUP("industry|PM25|Premature mortality", US_national_yearly!$D:$AM, 10, FALSE), 1)</f>
        <v>8.0926448139319908E-3</v>
      </c>
      <c r="L2" s="7">
        <f>$B2 * IFERROR(VLOOKUP("industry|PM25|Premature mortality", US_national_yearly!$D:$AM, 20, FALSE) / VLOOKUP("industry|PM25|Premature mortality", US_national_yearly!$D:$AM, 10, FALSE), 1)</f>
        <v>8.2055872912165373E-3</v>
      </c>
      <c r="M2" s="7">
        <f>$B2 * IFERROR(VLOOKUP("industry|PM25|Premature mortality", US_national_yearly!$D:$AM, 21, FALSE) / VLOOKUP("industry|PM25|Premature mortality", US_national_yearly!$D:$AM, 10, FALSE), 1)</f>
        <v>8.3185297685010873E-3</v>
      </c>
      <c r="N2" s="7">
        <f>$B2 * IFERROR(VLOOKUP("industry|PM25|Premature mortality", US_national_yearly!$D:$AM, 22, FALSE) / VLOOKUP("industry|PM25|Premature mortality", US_national_yearly!$D:$AM, 10, FALSE), 1)</f>
        <v>8.4065216145335388E-3</v>
      </c>
      <c r="O2" s="7">
        <f>$B2 * IFERROR(VLOOKUP("industry|PM25|Premature mortality", US_national_yearly!$D:$AM, 23, FALSE) / VLOOKUP("industry|PM25|Premature mortality", US_national_yearly!$D:$AM, 10, FALSE), 1)</f>
        <v>8.4945134605659885E-3</v>
      </c>
      <c r="P2" s="7">
        <f>$B2 * IFERROR(VLOOKUP("industry|PM25|Premature mortality", US_national_yearly!$D:$AM, 24, FALSE) / VLOOKUP("industry|PM25|Premature mortality", US_national_yearly!$D:$AM, 10, FALSE), 1)</f>
        <v>8.58250530659844E-3</v>
      </c>
      <c r="Q2" s="7">
        <f>$B2 * IFERROR(VLOOKUP("industry|PM25|Premature mortality", US_national_yearly!$D:$AM, 25, FALSE) / VLOOKUP("industry|PM25|Premature mortality", US_national_yearly!$D:$AM, 10, FALSE), 1)</f>
        <v>8.6704971526308915E-3</v>
      </c>
      <c r="R2" s="7">
        <f>$B2 * IFERROR(VLOOKUP("industry|PM25|Premature mortality", US_national_yearly!$D:$AM, 26, FALSE) / VLOOKUP("industry|PM25|Premature mortality", US_national_yearly!$D:$AM, 10, FALSE), 1)</f>
        <v>8.7584889986633413E-3</v>
      </c>
      <c r="S2" s="7">
        <f>$B2 * IFERROR(VLOOKUP("industry|PM25|Premature mortality", US_national_yearly!$D:$AM, 27, FALSE) / VLOOKUP("industry|PM25|Premature mortality", US_national_yearly!$D:$AM, 10, FALSE), 1)</f>
        <v>8.8060013319276355E-3</v>
      </c>
      <c r="T2" s="7">
        <f>$B2 * IFERROR(VLOOKUP("industry|PM25|Premature mortality", US_national_yearly!$D:$AM, 28, FALSE) / VLOOKUP("industry|PM25|Premature mortality", US_national_yearly!$D:$AM, 10, FALSE), 1)</f>
        <v>8.8535136651919297E-3</v>
      </c>
      <c r="U2" s="7">
        <f>$B2 * IFERROR(VLOOKUP("industry|PM25|Premature mortality", US_national_yearly!$D:$AM, 29, FALSE) / VLOOKUP("industry|PM25|Premature mortality", US_national_yearly!$D:$AM, 10, FALSE), 1)</f>
        <v>8.9010259984562273E-3</v>
      </c>
      <c r="V2" s="7">
        <f>$B2 * IFERROR(VLOOKUP("industry|PM25|Premature mortality", US_national_yearly!$D:$AM, 30, FALSE) / VLOOKUP("industry|PM25|Premature mortality", US_national_yearly!$D:$AM, 10, FALSE), 1)</f>
        <v>8.9485383317205215E-3</v>
      </c>
      <c r="W2" s="7">
        <f>$B2 * IFERROR(VLOOKUP("industry|PM25|Premature mortality", US_national_yearly!$D:$AM, 31, FALSE) / VLOOKUP("industry|PM25|Premature mortality", US_national_yearly!$D:$AM, 10, FALSE), 1)</f>
        <v>8.9960506649848157E-3</v>
      </c>
      <c r="X2" s="7">
        <f>$B2 * IFERROR(VLOOKUP("industry|PM25|Premature mortality", US_national_yearly!$D:$AM, 32, FALSE) / VLOOKUP("industry|PM25|Premature mortality", US_national_yearly!$D:$AM, 10, FALSE), 1)</f>
        <v>9.0058602964660697E-3</v>
      </c>
      <c r="Y2" s="7">
        <f>$B2 * IFERROR(VLOOKUP("industry|PM25|Premature mortality", US_national_yearly!$D:$AM, 33, FALSE) / VLOOKUP("industry|PM25|Premature mortality", US_national_yearly!$D:$AM, 10, FALSE), 1)</f>
        <v>9.0156699279473305E-3</v>
      </c>
      <c r="Z2" s="7">
        <f>$B2 * IFERROR(VLOOKUP("industry|PM25|Premature mortality", US_national_yearly!$D:$AM, 34, FALSE) / VLOOKUP("industry|PM25|Premature mortality", US_national_yearly!$D:$AM, 10, FALSE), 1)</f>
        <v>9.0254795594285862E-3</v>
      </c>
      <c r="AA2" s="7">
        <f>$B2 * IFERROR(VLOOKUP("industry|PM25|Premature mortality", US_national_yearly!$D:$AM, 35, FALSE) / VLOOKUP("industry|PM25|Premature mortality", US_national_yearly!$D:$AM, 10, FALSE), 1)</f>
        <v>9.0352891909098437E-3</v>
      </c>
      <c r="AB2" s="7">
        <f>$B2 * IFERROR(VLOOKUP("industry|PM25|Premature mortality", US_national_yearly!$D:$AM, 36, FALSE) / VLOOKUP("industry|PM25|Premature mortality", US_national_yearly!$D:$AM, 10, FALSE), 1)</f>
        <v>9.0450988223911011E-3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2.1819041848385196E-5</v>
      </c>
      <c r="C3" s="7">
        <f>$B3 * IFERROR(VLOOKUP("industry|PM25|Infant mortality", US_national_yearly!$D:$AM, 11, FALSE) / VLOOKUP("industry|PM25|Infant mortality", US_national_yearly!$D:$AM, 10, FALSE), 1)</f>
        <v>2.1629066748978905E-5</v>
      </c>
      <c r="D3" s="7">
        <f>$B3 * IFERROR(VLOOKUP("industry|PM25|Infant mortality", US_national_yearly!$D:$AM, 12, FALSE) / VLOOKUP("industry|PM25|Infant mortality", US_national_yearly!$D:$AM, 10, FALSE), 1)</f>
        <v>2.1439091649572611E-5</v>
      </c>
      <c r="E3" s="7">
        <f>$B3 * IFERROR(VLOOKUP("industry|PM25|Infant mortality", US_national_yearly!$D:$AM, 13, FALSE) / VLOOKUP("industry|PM25|Infant mortality", US_national_yearly!$D:$AM, 10, FALSE), 1)</f>
        <v>2.1249116550166317E-5</v>
      </c>
      <c r="F3" s="7">
        <f>$B3 * IFERROR(VLOOKUP("industry|PM25|Infant mortality", US_national_yearly!$D:$AM, 14, FALSE) / VLOOKUP("industry|PM25|Infant mortality", US_national_yearly!$D:$AM, 10, FALSE), 1)</f>
        <v>2.1059141450760026E-5</v>
      </c>
      <c r="G3" s="7">
        <f>$B3 * IFERROR(VLOOKUP("industry|PM25|Infant mortality", US_national_yearly!$D:$AM, 15, FALSE) / VLOOKUP("industry|PM25|Infant mortality", US_national_yearly!$D:$AM, 10, FALSE), 1)</f>
        <v>1.3992430712628712E-5</v>
      </c>
      <c r="H3" s="7">
        <f>$B3 * IFERROR(VLOOKUP("industry|PM25|Infant mortality", US_national_yearly!$D:$AM, 16, FALSE) / VLOOKUP("industry|PM25|Infant mortality", US_national_yearly!$D:$AM, 10, FALSE), 1)</f>
        <v>6.9257199744973975E-6</v>
      </c>
      <c r="I3" s="7">
        <f>$B3 * IFERROR(VLOOKUP("industry|PM25|Infant mortality", US_national_yearly!$D:$AM, 17, FALSE) / VLOOKUP("industry|PM25|Infant mortality", US_national_yearly!$D:$AM, 10, FALSE), 1)</f>
        <v>6.8796224771368622E-6</v>
      </c>
      <c r="J3" s="7">
        <f>$B3 * IFERROR(VLOOKUP("industry|PM25|Infant mortality", US_national_yearly!$D:$AM, 18, FALSE) / VLOOKUP("industry|PM25|Infant mortality", US_national_yearly!$D:$AM, 10, FALSE), 1)</f>
        <v>6.8335249797763277E-6</v>
      </c>
      <c r="K3" s="7">
        <f>$B3 * IFERROR(VLOOKUP("industry|PM25|Infant mortality", US_national_yearly!$D:$AM, 19, FALSE) / VLOOKUP("industry|PM25|Infant mortality", US_national_yearly!$D:$AM, 10, FALSE), 1)</f>
        <v>6.7874274824157923E-6</v>
      </c>
      <c r="L3" s="7">
        <f>$B3 * IFERROR(VLOOKUP("industry|PM25|Infant mortality", US_national_yearly!$D:$AM, 20, FALSE) / VLOOKUP("industry|PM25|Infant mortality", US_national_yearly!$D:$AM, 10, FALSE), 1)</f>
        <v>6.7413299850552562E-6</v>
      </c>
      <c r="M3" s="7">
        <f>$B3 * IFERROR(VLOOKUP("industry|PM25|Infant mortality", US_national_yearly!$D:$AM, 21, FALSE) / VLOOKUP("industry|PM25|Infant mortality", US_national_yearly!$D:$AM, 10, FALSE), 1)</f>
        <v>6.6952324876947217E-6</v>
      </c>
      <c r="N3" s="7">
        <f>$B3 * IFERROR(VLOOKUP("industry|PM25|Infant mortality", US_national_yearly!$D:$AM, 22, FALSE) / VLOOKUP("industry|PM25|Infant mortality", US_national_yearly!$D:$AM, 10, FALSE), 1)</f>
        <v>6.6658177954442976E-6</v>
      </c>
      <c r="O3" s="7">
        <f>$B3 * IFERROR(VLOOKUP("industry|PM25|Infant mortality", US_national_yearly!$D:$AM, 23, FALSE) / VLOOKUP("industry|PM25|Infant mortality", US_national_yearly!$D:$AM, 10, FALSE), 1)</f>
        <v>6.6364031031938744E-6</v>
      </c>
      <c r="P3" s="7">
        <f>$B3 * IFERROR(VLOOKUP("industry|PM25|Infant mortality", US_national_yearly!$D:$AM, 24, FALSE) / VLOOKUP("industry|PM25|Infant mortality", US_national_yearly!$D:$AM, 10, FALSE), 1)</f>
        <v>6.6069884109434529E-6</v>
      </c>
      <c r="Q3" s="7">
        <f>$B3 * IFERROR(VLOOKUP("industry|PM25|Infant mortality", US_national_yearly!$D:$AM, 25, FALSE) / VLOOKUP("industry|PM25|Infant mortality", US_national_yearly!$D:$AM, 10, FALSE), 1)</f>
        <v>6.5775737186930297E-6</v>
      </c>
      <c r="R3" s="7">
        <f>$B3 * IFERROR(VLOOKUP("industry|PM25|Infant mortality", US_national_yearly!$D:$AM, 26, FALSE) / VLOOKUP("industry|PM25|Infant mortality", US_national_yearly!$D:$AM, 10, FALSE), 1)</f>
        <v>6.5481590264426074E-6</v>
      </c>
      <c r="S3" s="7">
        <f>$B3 * IFERROR(VLOOKUP("industry|PM25|Infant mortality", US_national_yearly!$D:$AM, 27, FALSE) / VLOOKUP("industry|PM25|Infant mortality", US_national_yearly!$D:$AM, 10, FALSE), 1)</f>
        <v>6.5119816108380219E-6</v>
      </c>
      <c r="T3" s="7">
        <f>$B3 * IFERROR(VLOOKUP("industry|PM25|Infant mortality", US_national_yearly!$D:$AM, 28, FALSE) / VLOOKUP("industry|PM25|Infant mortality", US_national_yearly!$D:$AM, 10, FALSE), 1)</f>
        <v>6.475804195233438E-6</v>
      </c>
      <c r="U3" s="7">
        <f>$B3 * IFERROR(VLOOKUP("industry|PM25|Infant mortality", US_national_yearly!$D:$AM, 29, FALSE) / VLOOKUP("industry|PM25|Infant mortality", US_national_yearly!$D:$AM, 10, FALSE), 1)</f>
        <v>6.4396267796288533E-6</v>
      </c>
      <c r="V3" s="7">
        <f>$B3 * IFERROR(VLOOKUP("industry|PM25|Infant mortality", US_national_yearly!$D:$AM, 30, FALSE) / VLOOKUP("industry|PM25|Infant mortality", US_national_yearly!$D:$AM, 10, FALSE), 1)</f>
        <v>6.4034493640242695E-6</v>
      </c>
      <c r="W3" s="7">
        <f>$B3 * IFERROR(VLOOKUP("industry|PM25|Infant mortality", US_national_yearly!$D:$AM, 31, FALSE) / VLOOKUP("industry|PM25|Infant mortality", US_national_yearly!$D:$AM, 10, FALSE), 1)</f>
        <v>6.3672719484196857E-6</v>
      </c>
      <c r="X3" s="7">
        <f>$B3 * IFERROR(VLOOKUP("industry|PM25|Infant mortality", US_national_yearly!$D:$AM, 32, FALSE) / VLOOKUP("industry|PM25|Infant mortality", US_national_yearly!$D:$AM, 10, FALSE), 1)</f>
        <v>6.3286118466904316E-6</v>
      </c>
      <c r="Y3" s="7">
        <f>$B3 * IFERROR(VLOOKUP("industry|PM25|Infant mortality", US_national_yearly!$D:$AM, 33, FALSE) / VLOOKUP("industry|PM25|Infant mortality", US_national_yearly!$D:$AM, 10, FALSE), 1)</f>
        <v>6.2899517449611776E-6</v>
      </c>
      <c r="Z3" s="7">
        <f>$B3 * IFERROR(VLOOKUP("industry|PM25|Infant mortality", US_national_yearly!$D:$AM, 34, FALSE) / VLOOKUP("industry|PM25|Infant mortality", US_national_yearly!$D:$AM, 10, FALSE), 1)</f>
        <v>6.2512916432319236E-6</v>
      </c>
      <c r="AA3" s="7">
        <f>$B3 * IFERROR(VLOOKUP("industry|PM25|Infant mortality", US_national_yearly!$D:$AM, 35, FALSE) / VLOOKUP("industry|PM25|Infant mortality", US_national_yearly!$D:$AM, 10, FALSE), 1)</f>
        <v>6.2126315415026687E-6</v>
      </c>
      <c r="AB3" s="7">
        <f>$B3 * IFERROR(VLOOKUP("industry|PM25|Infant mortality", US_national_yearly!$D:$AM, 36, FALSE) / VLOOKUP("industry|PM25|Infant mortality", US_national_yearly!$D:$AM, 10, FALSE), 1)</f>
        <v>6.1739714397734147E-6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2.1208512312873021E-2</v>
      </c>
      <c r="C6" s="7">
        <f>$B6 * IFERROR(VLOOKUP("industry|PM25|Asthma symptoms cough", US_national_yearly!$D:$AM, 11, FALSE) / VLOOKUP("industry|PM25|Asthma symptoms cough", US_national_yearly!$D:$AM, 10, FALSE), 1)</f>
        <v>2.1208512312873021E-2</v>
      </c>
      <c r="D6" s="7">
        <f>$B6 * IFERROR(VLOOKUP("industry|PM25|Asthma symptoms cough", US_national_yearly!$D:$AM, 12, FALSE) / VLOOKUP("industry|PM25|Asthma symptoms cough", US_national_yearly!$D:$AM, 10, FALSE), 1)</f>
        <v>2.1208512312873021E-2</v>
      </c>
      <c r="E6" s="7">
        <f>$B6 * IFERROR(VLOOKUP("industry|PM25|Asthma symptoms cough", US_national_yearly!$D:$AM, 13, FALSE) / VLOOKUP("industry|PM25|Asthma symptoms cough", US_national_yearly!$D:$AM, 10, FALSE), 1)</f>
        <v>2.1208512312873021E-2</v>
      </c>
      <c r="F6" s="7">
        <f>$B6 * IFERROR(VLOOKUP("industry|PM25|Asthma symptoms cough", US_national_yearly!$D:$AM, 14, FALSE) / VLOOKUP("industry|PM25|Asthma symptoms cough", US_national_yearly!$D:$AM, 10, FALSE), 1)</f>
        <v>2.1208512312873021E-2</v>
      </c>
      <c r="G6" s="7">
        <f>$B6 * IFERROR(VLOOKUP("industry|PM25|Asthma symptoms cough", US_national_yearly!$D:$AM, 15, FALSE) / VLOOKUP("industry|PM25|Asthma symptoms cough", US_national_yearly!$D:$AM, 10, FALSE), 1)</f>
        <v>2.1208512312873021E-2</v>
      </c>
      <c r="H6" s="7">
        <f>$B6 * IFERROR(VLOOKUP("industry|PM25|Asthma symptoms cough", US_national_yearly!$D:$AM, 16, FALSE) / VLOOKUP("industry|PM25|Asthma symptoms cough", US_national_yearly!$D:$AM, 10, FALSE), 1)</f>
        <v>2.1208512312873021E-2</v>
      </c>
      <c r="I6" s="7">
        <f>$B6 * IFERROR(VLOOKUP("industry|PM25|Asthma symptoms cough", US_national_yearly!$D:$AM, 17, FALSE) / VLOOKUP("industry|PM25|Asthma symptoms cough", US_national_yearly!$D:$AM, 10, FALSE), 1)</f>
        <v>2.1208512312873021E-2</v>
      </c>
      <c r="J6" s="7">
        <f>$B6 * IFERROR(VLOOKUP("industry|PM25|Asthma symptoms cough", US_national_yearly!$D:$AM, 18, FALSE) / VLOOKUP("industry|PM25|Asthma symptoms cough", US_national_yearly!$D:$AM, 10, FALSE), 1)</f>
        <v>2.1208512312873021E-2</v>
      </c>
      <c r="K6" s="7">
        <f>$B6 * IFERROR(VLOOKUP("industry|PM25|Asthma symptoms cough", US_national_yearly!$D:$AM, 19, FALSE) / VLOOKUP("industry|PM25|Asthma symptoms cough", US_national_yearly!$D:$AM, 10, FALSE), 1)</f>
        <v>2.1208512312873021E-2</v>
      </c>
      <c r="L6" s="7">
        <f>$B6 * IFERROR(VLOOKUP("industry|PM25|Asthma symptoms cough", US_national_yearly!$D:$AM, 20, FALSE) / VLOOKUP("industry|PM25|Asthma symptoms cough", US_national_yearly!$D:$AM, 10, FALSE), 1)</f>
        <v>2.1208512312873021E-2</v>
      </c>
      <c r="M6" s="7">
        <f>$B6 * IFERROR(VLOOKUP("industry|PM25|Asthma symptoms cough", US_national_yearly!$D:$AM, 21, FALSE) / VLOOKUP("industry|PM25|Asthma symptoms cough", US_national_yearly!$D:$AM, 10, FALSE), 1)</f>
        <v>2.1208512312873021E-2</v>
      </c>
      <c r="N6" s="7">
        <f>$B6 * IFERROR(VLOOKUP("industry|PM25|Asthma symptoms cough", US_national_yearly!$D:$AM, 22, FALSE) / VLOOKUP("industry|PM25|Asthma symptoms cough", US_national_yearly!$D:$AM, 10, FALSE), 1)</f>
        <v>2.1208512312873021E-2</v>
      </c>
      <c r="O6" s="7">
        <f>$B6 * IFERROR(VLOOKUP("industry|PM25|Asthma symptoms cough", US_national_yearly!$D:$AM, 23, FALSE) / VLOOKUP("industry|PM25|Asthma symptoms cough", US_national_yearly!$D:$AM, 10, FALSE), 1)</f>
        <v>2.1208512312873021E-2</v>
      </c>
      <c r="P6" s="7">
        <f>$B6 * IFERROR(VLOOKUP("industry|PM25|Asthma symptoms cough", US_national_yearly!$D:$AM, 24, FALSE) / VLOOKUP("industry|PM25|Asthma symptoms cough", US_national_yearly!$D:$AM, 10, FALSE), 1)</f>
        <v>2.1208512312873021E-2</v>
      </c>
      <c r="Q6" s="7">
        <f>$B6 * IFERROR(VLOOKUP("industry|PM25|Asthma symptoms cough", US_national_yearly!$D:$AM, 25, FALSE) / VLOOKUP("industry|PM25|Asthma symptoms cough", US_national_yearly!$D:$AM, 10, FALSE), 1)</f>
        <v>2.1208512312873021E-2</v>
      </c>
      <c r="R6" s="7">
        <f>$B6 * IFERROR(VLOOKUP("industry|PM25|Asthma symptoms cough", US_national_yearly!$D:$AM, 26, FALSE) / VLOOKUP("industry|PM25|Asthma symptoms cough", US_national_yearly!$D:$AM, 10, FALSE), 1)</f>
        <v>2.1208512312873021E-2</v>
      </c>
      <c r="S6" s="7">
        <f>$B6 * IFERROR(VLOOKUP("industry|PM25|Asthma symptoms cough", US_national_yearly!$D:$AM, 27, FALSE) / VLOOKUP("industry|PM25|Asthma symptoms cough", US_national_yearly!$D:$AM, 10, FALSE), 1)</f>
        <v>2.1208512312873021E-2</v>
      </c>
      <c r="T6" s="7">
        <f>$B6 * IFERROR(VLOOKUP("industry|PM25|Asthma symptoms cough", US_national_yearly!$D:$AM, 28, FALSE) / VLOOKUP("industry|PM25|Asthma symptoms cough", US_national_yearly!$D:$AM, 10, FALSE), 1)</f>
        <v>2.1208512312873021E-2</v>
      </c>
      <c r="U6" s="7">
        <f>$B6 * IFERROR(VLOOKUP("industry|PM25|Asthma symptoms cough", US_national_yearly!$D:$AM, 29, FALSE) / VLOOKUP("industry|PM25|Asthma symptoms cough", US_national_yearly!$D:$AM, 10, FALSE), 1)</f>
        <v>2.1208512312873021E-2</v>
      </c>
      <c r="V6" s="7">
        <f>$B6 * IFERROR(VLOOKUP("industry|PM25|Asthma symptoms cough", US_national_yearly!$D:$AM, 30, FALSE) / VLOOKUP("industry|PM25|Asthma symptoms cough", US_national_yearly!$D:$AM, 10, FALSE), 1)</f>
        <v>2.1208512312873021E-2</v>
      </c>
      <c r="W6" s="7">
        <f>$B6 * IFERROR(VLOOKUP("industry|PM25|Asthma symptoms cough", US_national_yearly!$D:$AM, 31, FALSE) / VLOOKUP("industry|PM25|Asthma symptoms cough", US_national_yearly!$D:$AM, 10, FALSE), 1)</f>
        <v>2.1208512312873021E-2</v>
      </c>
      <c r="X6" s="7">
        <f>$B6 * IFERROR(VLOOKUP("industry|PM25|Asthma symptoms cough", US_national_yearly!$D:$AM, 32, FALSE) / VLOOKUP("industry|PM25|Asthma symptoms cough", US_national_yearly!$D:$AM, 10, FALSE), 1)</f>
        <v>2.1208512312873021E-2</v>
      </c>
      <c r="Y6" s="7">
        <f>$B6 * IFERROR(VLOOKUP("industry|PM25|Asthma symptoms cough", US_national_yearly!$D:$AM, 33, FALSE) / VLOOKUP("industry|PM25|Asthma symptoms cough", US_national_yearly!$D:$AM, 10, FALSE), 1)</f>
        <v>2.1208512312873021E-2</v>
      </c>
      <c r="Z6" s="7">
        <f>$B6 * IFERROR(VLOOKUP("industry|PM25|Asthma symptoms cough", US_national_yearly!$D:$AM, 34, FALSE) / VLOOKUP("industry|PM25|Asthma symptoms cough", US_national_yearly!$D:$AM, 10, FALSE), 1)</f>
        <v>2.1208512312873021E-2</v>
      </c>
      <c r="AA6" s="7">
        <f>$B6 * IFERROR(VLOOKUP("industry|PM25|Asthma symptoms cough", US_national_yearly!$D:$AM, 35, FALSE) / VLOOKUP("industry|PM25|Asthma symptoms cough", US_national_yearly!$D:$AM, 10, FALSE), 1)</f>
        <v>2.1208512312873021E-2</v>
      </c>
      <c r="AB6" s="7">
        <f>$B6 * IFERROR(VLOOKUP("industry|PM25|Asthma symptoms cough", US_national_yearly!$D:$AM, 36, FALSE) / VLOOKUP("industry|PM25|Asthma symptoms cough", US_national_yearly!$D:$AM, 10, FALSE), 1)</f>
        <v>2.1208512312873021E-2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2.8559361067952732E-2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2.8559361067952732E-2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2.8559361067952732E-2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2.8559361067952732E-2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2.8559361067952732E-2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2.8559361067952732E-2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2.8559361067952732E-2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2.8559361067952732E-2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2.8559361067952732E-2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2.8559361067952732E-2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2.8559361067952732E-2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2.8559361067952732E-2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2.8559361067952732E-2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2.8559361067952732E-2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2.8559361067952732E-2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2.8559361067952732E-2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2.8559361067952732E-2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2.8559361067952732E-2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2.8559361067952732E-2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2.8559361067952732E-2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2.8559361067952732E-2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2.8559361067952732E-2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2.8559361067952732E-2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2.8559361067952732E-2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2.8559361067952732E-2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2.8559361067952732E-2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2.8559361067952732E-2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4.3637351081522148E-2</v>
      </c>
      <c r="C8" s="7">
        <f>$B8 * IFERROR(VLOOKUP("industry|PM25|Asthma symptoms wheeze", US_national_yearly!$D:$AM, 11, FALSE) / VLOOKUP("industry|PM25|Asthma symptoms wheeze", US_national_yearly!$D:$AM, 10, FALSE), 1)</f>
        <v>4.3637351081522148E-2</v>
      </c>
      <c r="D8" s="7">
        <f>$B8 * IFERROR(VLOOKUP("industry|PM25|Asthma symptoms wheeze", US_national_yearly!$D:$AM, 12, FALSE) / VLOOKUP("industry|PM25|Asthma symptoms wheeze", US_national_yearly!$D:$AM, 10, FALSE), 1)</f>
        <v>4.3637351081522148E-2</v>
      </c>
      <c r="E8" s="7">
        <f>$B8 * IFERROR(VLOOKUP("industry|PM25|Asthma symptoms wheeze", US_national_yearly!$D:$AM, 13, FALSE) / VLOOKUP("industry|PM25|Asthma symptoms wheeze", US_national_yearly!$D:$AM, 10, FALSE), 1)</f>
        <v>4.3637351081522148E-2</v>
      </c>
      <c r="F8" s="7">
        <f>$B8 * IFERROR(VLOOKUP("industry|PM25|Asthma symptoms wheeze", US_national_yearly!$D:$AM, 14, FALSE) / VLOOKUP("industry|PM25|Asthma symptoms wheeze", US_national_yearly!$D:$AM, 10, FALSE), 1)</f>
        <v>4.3637351081522148E-2</v>
      </c>
      <c r="G8" s="7">
        <f>$B8 * IFERROR(VLOOKUP("industry|PM25|Asthma symptoms wheeze", US_national_yearly!$D:$AM, 15, FALSE) / VLOOKUP("industry|PM25|Asthma symptoms wheeze", US_national_yearly!$D:$AM, 10, FALSE), 1)</f>
        <v>4.3637351081522148E-2</v>
      </c>
      <c r="H8" s="7">
        <f>$B8 * IFERROR(VLOOKUP("industry|PM25|Asthma symptoms wheeze", US_national_yearly!$D:$AM, 16, FALSE) / VLOOKUP("industry|PM25|Asthma symptoms wheeze", US_national_yearly!$D:$AM, 10, FALSE), 1)</f>
        <v>4.3637351081522148E-2</v>
      </c>
      <c r="I8" s="7">
        <f>$B8 * IFERROR(VLOOKUP("industry|PM25|Asthma symptoms wheeze", US_national_yearly!$D:$AM, 17, FALSE) / VLOOKUP("industry|PM25|Asthma symptoms wheeze", US_national_yearly!$D:$AM, 10, FALSE), 1)</f>
        <v>4.3637351081522148E-2</v>
      </c>
      <c r="J8" s="7">
        <f>$B8 * IFERROR(VLOOKUP("industry|PM25|Asthma symptoms wheeze", US_national_yearly!$D:$AM, 18, FALSE) / VLOOKUP("industry|PM25|Asthma symptoms wheeze", US_national_yearly!$D:$AM, 10, FALSE), 1)</f>
        <v>4.3637351081522148E-2</v>
      </c>
      <c r="K8" s="7">
        <f>$B8 * IFERROR(VLOOKUP("industry|PM25|Asthma symptoms wheeze", US_national_yearly!$D:$AM, 19, FALSE) / VLOOKUP("industry|PM25|Asthma symptoms wheeze", US_national_yearly!$D:$AM, 10, FALSE), 1)</f>
        <v>4.3637351081522148E-2</v>
      </c>
      <c r="L8" s="7">
        <f>$B8 * IFERROR(VLOOKUP("industry|PM25|Asthma symptoms wheeze", US_national_yearly!$D:$AM, 20, FALSE) / VLOOKUP("industry|PM25|Asthma symptoms wheeze", US_national_yearly!$D:$AM, 10, FALSE), 1)</f>
        <v>4.3637351081522148E-2</v>
      </c>
      <c r="M8" s="7">
        <f>$B8 * IFERROR(VLOOKUP("industry|PM25|Asthma symptoms wheeze", US_national_yearly!$D:$AM, 21, FALSE) / VLOOKUP("industry|PM25|Asthma symptoms wheeze", US_national_yearly!$D:$AM, 10, FALSE), 1)</f>
        <v>4.3637351081522148E-2</v>
      </c>
      <c r="N8" s="7">
        <f>$B8 * IFERROR(VLOOKUP("industry|PM25|Asthma symptoms wheeze", US_national_yearly!$D:$AM, 22, FALSE) / VLOOKUP("industry|PM25|Asthma symptoms wheeze", US_national_yearly!$D:$AM, 10, FALSE), 1)</f>
        <v>4.3637351081522148E-2</v>
      </c>
      <c r="O8" s="7">
        <f>$B8 * IFERROR(VLOOKUP("industry|PM25|Asthma symptoms wheeze", US_national_yearly!$D:$AM, 23, FALSE) / VLOOKUP("industry|PM25|Asthma symptoms wheeze", US_national_yearly!$D:$AM, 10, FALSE), 1)</f>
        <v>4.3637351081522148E-2</v>
      </c>
      <c r="P8" s="7">
        <f>$B8 * IFERROR(VLOOKUP("industry|PM25|Asthma symptoms wheeze", US_national_yearly!$D:$AM, 24, FALSE) / VLOOKUP("industry|PM25|Asthma symptoms wheeze", US_national_yearly!$D:$AM, 10, FALSE), 1)</f>
        <v>4.3637351081522148E-2</v>
      </c>
      <c r="Q8" s="7">
        <f>$B8 * IFERROR(VLOOKUP("industry|PM25|Asthma symptoms wheeze", US_national_yearly!$D:$AM, 25, FALSE) / VLOOKUP("industry|PM25|Asthma symptoms wheeze", US_national_yearly!$D:$AM, 10, FALSE), 1)</f>
        <v>4.3637351081522148E-2</v>
      </c>
      <c r="R8" s="7">
        <f>$B8 * IFERROR(VLOOKUP("industry|PM25|Asthma symptoms wheeze", US_national_yearly!$D:$AM, 26, FALSE) / VLOOKUP("industry|PM25|Asthma symptoms wheeze", US_national_yearly!$D:$AM, 10, FALSE), 1)</f>
        <v>4.3637351081522148E-2</v>
      </c>
      <c r="S8" s="7">
        <f>$B8 * IFERROR(VLOOKUP("industry|PM25|Asthma symptoms wheeze", US_national_yearly!$D:$AM, 27, FALSE) / VLOOKUP("industry|PM25|Asthma symptoms wheeze", US_national_yearly!$D:$AM, 10, FALSE), 1)</f>
        <v>4.3637351081522148E-2</v>
      </c>
      <c r="T8" s="7">
        <f>$B8 * IFERROR(VLOOKUP("industry|PM25|Asthma symptoms wheeze", US_national_yearly!$D:$AM, 28, FALSE) / VLOOKUP("industry|PM25|Asthma symptoms wheeze", US_national_yearly!$D:$AM, 10, FALSE), 1)</f>
        <v>4.3637351081522148E-2</v>
      </c>
      <c r="U8" s="7">
        <f>$B8 * IFERROR(VLOOKUP("industry|PM25|Asthma symptoms wheeze", US_national_yearly!$D:$AM, 29, FALSE) / VLOOKUP("industry|PM25|Asthma symptoms wheeze", US_national_yearly!$D:$AM, 10, FALSE), 1)</f>
        <v>4.3637351081522148E-2</v>
      </c>
      <c r="V8" s="7">
        <f>$B8 * IFERROR(VLOOKUP("industry|PM25|Asthma symptoms wheeze", US_national_yearly!$D:$AM, 30, FALSE) / VLOOKUP("industry|PM25|Asthma symptoms wheeze", US_national_yearly!$D:$AM, 10, FALSE), 1)</f>
        <v>4.3637351081522148E-2</v>
      </c>
      <c r="W8" s="7">
        <f>$B8 * IFERROR(VLOOKUP("industry|PM25|Asthma symptoms wheeze", US_national_yearly!$D:$AM, 31, FALSE) / VLOOKUP("industry|PM25|Asthma symptoms wheeze", US_national_yearly!$D:$AM, 10, FALSE), 1)</f>
        <v>4.3637351081522148E-2</v>
      </c>
      <c r="X8" s="7">
        <f>$B8 * IFERROR(VLOOKUP("industry|PM25|Asthma symptoms wheeze", US_national_yearly!$D:$AM, 32, FALSE) / VLOOKUP("industry|PM25|Asthma symptoms wheeze", US_national_yearly!$D:$AM, 10, FALSE), 1)</f>
        <v>4.3637351081522148E-2</v>
      </c>
      <c r="Y8" s="7">
        <f>$B8 * IFERROR(VLOOKUP("industry|PM25|Asthma symptoms wheeze", US_national_yearly!$D:$AM, 33, FALSE) / VLOOKUP("industry|PM25|Asthma symptoms wheeze", US_national_yearly!$D:$AM, 10, FALSE), 1)</f>
        <v>4.3637351081522148E-2</v>
      </c>
      <c r="Z8" s="7">
        <f>$B8 * IFERROR(VLOOKUP("industry|PM25|Asthma symptoms wheeze", US_national_yearly!$D:$AM, 34, FALSE) / VLOOKUP("industry|PM25|Asthma symptoms wheeze", US_national_yearly!$D:$AM, 10, FALSE), 1)</f>
        <v>4.3637351081522148E-2</v>
      </c>
      <c r="AA8" s="7">
        <f>$B8 * IFERROR(VLOOKUP("industry|PM25|Asthma symptoms wheeze", US_national_yearly!$D:$AM, 35, FALSE) / VLOOKUP("industry|PM25|Asthma symptoms wheeze", US_national_yearly!$D:$AM, 10, FALSE), 1)</f>
        <v>4.3637351081522148E-2</v>
      </c>
      <c r="AB8" s="7">
        <f>$B8 * IFERROR(VLOOKUP("industry|PM25|Asthma symptoms wheeze", US_national_yearly!$D:$AM, 36, FALSE) / VLOOKUP("industry|PM25|Asthma symptoms wheeze", US_national_yearly!$D:$AM, 10, FALSE), 1)</f>
        <v>4.3637351081522148E-2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5.4390194516829515E-4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5.4698998308601277E-4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5.500780210037304E-4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5.5316605892144803E-4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5.5625409683916576E-4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5.5959284829937837E-4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5.6293159975959108E-4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5.6609882555607154E-4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5.692660513525519E-4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5.7243327714903214E-4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5.7560050294551261E-4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5.7876772874199296E-4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5.8100781882630974E-4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5.832479089106263E-4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5.8548799899494307E-4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5.8772808907925974E-4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5.899681791635764E-4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5.9208098015524119E-4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5.9419378114690597E-4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5.9630658213857097E-4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5.9841938313023575E-4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6.0053218412190064E-4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6.0256650430467453E-4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6.0460082448744832E-4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6.0663514467022232E-4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6.0866946485299621E-4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6.107037850357701E-4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2.3390900807225713E-3</v>
      </c>
      <c r="C13" s="7">
        <f>$B13 * IFERROR(VLOOKUP("industry|PM25|Non-fatal heart attacks", US_national_yearly!$D:$AM, 11, FALSE) / VLOOKUP("industry|PM25|Non-fatal heart attacks", US_national_yearly!$D:$AM, 10, FALSE), 1)</f>
        <v>2.4071816062956539E-3</v>
      </c>
      <c r="D13" s="7">
        <f>$B13 * IFERROR(VLOOKUP("industry|PM25|Non-fatal heart attacks", US_national_yearly!$D:$AM, 12, FALSE) / VLOOKUP("industry|PM25|Non-fatal heart attacks", US_national_yearly!$D:$AM, 10, FALSE), 1)</f>
        <v>2.475273131868736E-3</v>
      </c>
      <c r="E13" s="7">
        <f>$B13 * IFERROR(VLOOKUP("industry|PM25|Non-fatal heart attacks", US_national_yearly!$D:$AM, 13, FALSE) / VLOOKUP("industry|PM25|Non-fatal heart attacks", US_national_yearly!$D:$AM, 10, FALSE), 1)</f>
        <v>2.5433646574418186E-3</v>
      </c>
      <c r="F13" s="7">
        <f>$B13 * IFERROR(VLOOKUP("industry|PM25|Non-fatal heart attacks", US_national_yearly!$D:$AM, 14, FALSE) / VLOOKUP("industry|PM25|Non-fatal heart attacks", US_national_yearly!$D:$AM, 10, FALSE), 1)</f>
        <v>2.6114561830149013E-3</v>
      </c>
      <c r="G13" s="7">
        <f>$B13 * IFERROR(VLOOKUP("industry|PM25|Non-fatal heart attacks", US_national_yearly!$D:$AM, 15, FALSE) / VLOOKUP("industry|PM25|Non-fatal heart attacks", US_national_yearly!$D:$AM, 10, FALSE), 1)</f>
        <v>2.6757393708908735E-3</v>
      </c>
      <c r="H13" s="7">
        <f>$B13 * IFERROR(VLOOKUP("industry|PM25|Non-fatal heart attacks", US_national_yearly!$D:$AM, 16, FALSE) / VLOOKUP("industry|PM25|Non-fatal heart attacks", US_national_yearly!$D:$AM, 10, FALSE), 1)</f>
        <v>2.7400225587668465E-3</v>
      </c>
      <c r="I13" s="7">
        <f>$B13 * IFERROR(VLOOKUP("industry|PM25|Non-fatal heart attacks", US_national_yearly!$D:$AM, 17, FALSE) / VLOOKUP("industry|PM25|Non-fatal heart attacks", US_national_yearly!$D:$AM, 10, FALSE), 1)</f>
        <v>2.7919318266468713E-3</v>
      </c>
      <c r="J13" s="7">
        <f>$B13 * IFERROR(VLOOKUP("industry|PM25|Non-fatal heart attacks", US_national_yearly!$D:$AM, 18, FALSE) / VLOOKUP("industry|PM25|Non-fatal heart attacks", US_national_yearly!$D:$AM, 10, FALSE), 1)</f>
        <v>2.8438410945268952E-3</v>
      </c>
      <c r="K13" s="7">
        <f>$B13 * IFERROR(VLOOKUP("industry|PM25|Non-fatal heart attacks", US_national_yearly!$D:$AM, 19, FALSE) / VLOOKUP("industry|PM25|Non-fatal heart attacks", US_national_yearly!$D:$AM, 10, FALSE), 1)</f>
        <v>2.8957503624069195E-3</v>
      </c>
      <c r="L13" s="7">
        <f>$B13 * IFERROR(VLOOKUP("industry|PM25|Non-fatal heart attacks", US_national_yearly!$D:$AM, 20, FALSE) / VLOOKUP("industry|PM25|Non-fatal heart attacks", US_national_yearly!$D:$AM, 10, FALSE), 1)</f>
        <v>2.9476596302869438E-3</v>
      </c>
      <c r="M13" s="7">
        <f>$B13 * IFERROR(VLOOKUP("industry|PM25|Non-fatal heart attacks", US_national_yearly!$D:$AM, 21, FALSE) / VLOOKUP("industry|PM25|Non-fatal heart attacks", US_national_yearly!$D:$AM, 10, FALSE), 1)</f>
        <v>2.9995688981669676E-3</v>
      </c>
      <c r="N13" s="7">
        <f>$B13 * IFERROR(VLOOKUP("industry|PM25|Non-fatal heart attacks", US_national_yearly!$D:$AM, 22, FALSE) / VLOOKUP("industry|PM25|Non-fatal heart attacks", US_national_yearly!$D:$AM, 10, FALSE), 1)</f>
        <v>3.033131130726602E-3</v>
      </c>
      <c r="O13" s="7">
        <f>$B13 * IFERROR(VLOOKUP("industry|PM25|Non-fatal heart attacks", US_national_yearly!$D:$AM, 23, FALSE) / VLOOKUP("industry|PM25|Non-fatal heart attacks", US_national_yearly!$D:$AM, 10, FALSE), 1)</f>
        <v>3.0666933632862358E-3</v>
      </c>
      <c r="P13" s="7">
        <f>$B13 * IFERROR(VLOOKUP("industry|PM25|Non-fatal heart attacks", US_national_yearly!$D:$AM, 24, FALSE) / VLOOKUP("industry|PM25|Non-fatal heart attacks", US_national_yearly!$D:$AM, 10, FALSE), 1)</f>
        <v>3.1002555958458697E-3</v>
      </c>
      <c r="Q13" s="7">
        <f>$B13 * IFERROR(VLOOKUP("industry|PM25|Non-fatal heart attacks", US_national_yearly!$D:$AM, 25, FALSE) / VLOOKUP("industry|PM25|Non-fatal heart attacks", US_national_yearly!$D:$AM, 10, FALSE), 1)</f>
        <v>3.1338178284055032E-3</v>
      </c>
      <c r="R13" s="7">
        <f>$B13 * IFERROR(VLOOKUP("industry|PM25|Non-fatal heart attacks", US_national_yearly!$D:$AM, 26, FALSE) / VLOOKUP("industry|PM25|Non-fatal heart attacks", US_national_yearly!$D:$AM, 10, FALSE), 1)</f>
        <v>3.167380060965137E-3</v>
      </c>
      <c r="S13" s="7">
        <f>$B13 * IFERROR(VLOOKUP("industry|PM25|Non-fatal heart attacks", US_national_yearly!$D:$AM, 27, FALSE) / VLOOKUP("industry|PM25|Non-fatal heart attacks", US_national_yearly!$D:$AM, 10, FALSE), 1)</f>
        <v>3.1853057765643279E-3</v>
      </c>
      <c r="T13" s="7">
        <f>$B13 * IFERROR(VLOOKUP("industry|PM25|Non-fatal heart attacks", US_national_yearly!$D:$AM, 28, FALSE) / VLOOKUP("industry|PM25|Non-fatal heart attacks", US_national_yearly!$D:$AM, 10, FALSE), 1)</f>
        <v>3.2032314921635195E-3</v>
      </c>
      <c r="U13" s="7">
        <f>$B13 * IFERROR(VLOOKUP("industry|PM25|Non-fatal heart attacks", US_national_yearly!$D:$AM, 29, FALSE) / VLOOKUP("industry|PM25|Non-fatal heart attacks", US_national_yearly!$D:$AM, 10, FALSE), 1)</f>
        <v>3.2211572077627103E-3</v>
      </c>
      <c r="V13" s="7">
        <f>$B13 * IFERROR(VLOOKUP("industry|PM25|Non-fatal heart attacks", US_national_yearly!$D:$AM, 30, FALSE) / VLOOKUP("industry|PM25|Non-fatal heart attacks", US_national_yearly!$D:$AM, 10, FALSE), 1)</f>
        <v>3.2390829233619012E-3</v>
      </c>
      <c r="W13" s="7">
        <f>$B13 * IFERROR(VLOOKUP("industry|PM25|Non-fatal heart attacks", US_national_yearly!$D:$AM, 31, FALSE) / VLOOKUP("industry|PM25|Non-fatal heart attacks", US_national_yearly!$D:$AM, 10, FALSE), 1)</f>
        <v>3.2570086389610924E-3</v>
      </c>
      <c r="X13" s="7">
        <f>$B13 * IFERROR(VLOOKUP("industry|PM25|Non-fatal heart attacks", US_national_yearly!$D:$AM, 32, FALSE) / VLOOKUP("industry|PM25|Non-fatal heart attacks", US_national_yearly!$D:$AM, 10, FALSE), 1)</f>
        <v>3.270843590582522E-3</v>
      </c>
      <c r="Y13" s="7">
        <f>$B13 * IFERROR(VLOOKUP("industry|PM25|Non-fatal heart attacks", US_national_yearly!$D:$AM, 33, FALSE) / VLOOKUP("industry|PM25|Non-fatal heart attacks", US_national_yearly!$D:$AM, 10, FALSE), 1)</f>
        <v>3.2846785422039507E-3</v>
      </c>
      <c r="Z13" s="7">
        <f>$B13 * IFERROR(VLOOKUP("industry|PM25|Non-fatal heart attacks", US_national_yearly!$D:$AM, 34, FALSE) / VLOOKUP("industry|PM25|Non-fatal heart attacks", US_national_yearly!$D:$AM, 10, FALSE), 1)</f>
        <v>3.2985134938253798E-3</v>
      </c>
      <c r="AA13" s="7">
        <f>$B13 * IFERROR(VLOOKUP("industry|PM25|Non-fatal heart attacks", US_national_yearly!$D:$AM, 35, FALSE) / VLOOKUP("industry|PM25|Non-fatal heart attacks", US_national_yearly!$D:$AM, 10, FALSE), 1)</f>
        <v>3.3123484454468089E-3</v>
      </c>
      <c r="AB13" s="7">
        <f>$B13 * IFERROR(VLOOKUP("industry|PM25|Non-fatal heart attacks", US_national_yearly!$D:$AM, 36, FALSE) / VLOOKUP("industry|PM25|Non-fatal heart attacks", US_national_yearly!$D:$AM, 10, FALSE), 1)</f>
        <v>3.326183397068238E-3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2.3481632462501265</v>
      </c>
      <c r="C14" s="7">
        <f>$B14 * IFERROR(VLOOKUP("industry|PM25|Minor restricted activity days", US_national_yearly!$D:$AM, 11, FALSE) / VLOOKUP("industry|PM25|Minor restricted activity days", US_national_yearly!$D:$AM, 10, FALSE), 1)</f>
        <v>2.3539142872618299</v>
      </c>
      <c r="D14" s="7">
        <f>$B14 * IFERROR(VLOOKUP("industry|PM25|Minor restricted activity days", US_national_yearly!$D:$AM, 12, FALSE) / VLOOKUP("industry|PM25|Minor restricted activity days", US_national_yearly!$D:$AM, 10, FALSE), 1)</f>
        <v>2.3596653282735343</v>
      </c>
      <c r="E14" s="7">
        <f>$B14 * IFERROR(VLOOKUP("industry|PM25|Minor restricted activity days", US_national_yearly!$D:$AM, 13, FALSE) / VLOOKUP("industry|PM25|Minor restricted activity days", US_national_yearly!$D:$AM, 10, FALSE), 1)</f>
        <v>2.3654163692852377</v>
      </c>
      <c r="F14" s="7">
        <f>$B14 * IFERROR(VLOOKUP("industry|PM25|Minor restricted activity days", US_national_yearly!$D:$AM, 14, FALSE) / VLOOKUP("industry|PM25|Minor restricted activity days", US_national_yearly!$D:$AM, 10, FALSE), 1)</f>
        <v>2.3711674102969416</v>
      </c>
      <c r="G14" s="7">
        <f>$B14 * IFERROR(VLOOKUP("industry|PM25|Minor restricted activity days", US_national_yearly!$D:$AM, 15, FALSE) / VLOOKUP("industry|PM25|Minor restricted activity days", US_national_yearly!$D:$AM, 10, FALSE), 1)</f>
        <v>2.3796090037930822</v>
      </c>
      <c r="H14" s="7">
        <f>$B14 * IFERROR(VLOOKUP("industry|PM25|Minor restricted activity days", US_national_yearly!$D:$AM, 16, FALSE) / VLOOKUP("industry|PM25|Minor restricted activity days", US_national_yearly!$D:$AM, 10, FALSE), 1)</f>
        <v>2.3880505972892228</v>
      </c>
      <c r="I14" s="7">
        <f>$B14 * IFERROR(VLOOKUP("industry|PM25|Minor restricted activity days", US_national_yearly!$D:$AM, 17, FALSE) / VLOOKUP("industry|PM25|Minor restricted activity days", US_national_yearly!$D:$AM, 10, FALSE), 1)</f>
        <v>2.402390694074076</v>
      </c>
      <c r="J14" s="7">
        <f>$B14 * IFERROR(VLOOKUP("industry|PM25|Minor restricted activity days", US_national_yearly!$D:$AM, 18, FALSE) / VLOOKUP("industry|PM25|Minor restricted activity days", US_national_yearly!$D:$AM, 10, FALSE), 1)</f>
        <v>2.4167307908589297</v>
      </c>
      <c r="K14" s="7">
        <f>$B14 * IFERROR(VLOOKUP("industry|PM25|Minor restricted activity days", US_national_yearly!$D:$AM, 19, FALSE) / VLOOKUP("industry|PM25|Minor restricted activity days", US_national_yearly!$D:$AM, 10, FALSE), 1)</f>
        <v>2.4310708876437825</v>
      </c>
      <c r="L14" s="7">
        <f>$B14 * IFERROR(VLOOKUP("industry|PM25|Minor restricted activity days", US_national_yearly!$D:$AM, 20, FALSE) / VLOOKUP("industry|PM25|Minor restricted activity days", US_national_yearly!$D:$AM, 10, FALSE), 1)</f>
        <v>2.4454109844286358</v>
      </c>
      <c r="M14" s="7">
        <f>$B14 * IFERROR(VLOOKUP("industry|PM25|Minor restricted activity days", US_national_yearly!$D:$AM, 21, FALSE) / VLOOKUP("industry|PM25|Minor restricted activity days", US_national_yearly!$D:$AM, 10, FALSE), 1)</f>
        <v>2.4597510812134891</v>
      </c>
      <c r="N14" s="7">
        <f>$B14 * IFERROR(VLOOKUP("industry|PM25|Minor restricted activity days", US_national_yearly!$D:$AM, 22, FALSE) / VLOOKUP("industry|PM25|Minor restricted activity days", US_national_yearly!$D:$AM, 10, FALSE), 1)</f>
        <v>2.4793410693760936</v>
      </c>
      <c r="O14" s="7">
        <f>$B14 * IFERROR(VLOOKUP("industry|PM25|Minor restricted activity days", US_national_yearly!$D:$AM, 23, FALSE) / VLOOKUP("industry|PM25|Minor restricted activity days", US_national_yearly!$D:$AM, 10, FALSE), 1)</f>
        <v>2.4989310575387007</v>
      </c>
      <c r="P14" s="7">
        <f>$B14 * IFERROR(VLOOKUP("industry|PM25|Minor restricted activity days", US_national_yearly!$D:$AM, 24, FALSE) / VLOOKUP("industry|PM25|Minor restricted activity days", US_national_yearly!$D:$AM, 10, FALSE), 1)</f>
        <v>2.5185210457013052</v>
      </c>
      <c r="Q14" s="7">
        <f>$B14 * IFERROR(VLOOKUP("industry|PM25|Minor restricted activity days", US_national_yearly!$D:$AM, 25, FALSE) / VLOOKUP("industry|PM25|Minor restricted activity days", US_national_yearly!$D:$AM, 10, FALSE), 1)</f>
        <v>2.5381110338639128</v>
      </c>
      <c r="R14" s="7">
        <f>$B14 * IFERROR(VLOOKUP("industry|PM25|Minor restricted activity days", US_national_yearly!$D:$AM, 26, FALSE) / VLOOKUP("industry|PM25|Minor restricted activity days", US_national_yearly!$D:$AM, 10, FALSE), 1)</f>
        <v>2.5577010220265173</v>
      </c>
      <c r="S14" s="7">
        <f>$B14 * IFERROR(VLOOKUP("industry|PM25|Minor restricted activity days", US_national_yearly!$D:$AM, 27, FALSE) / VLOOKUP("industry|PM25|Minor restricted activity days", US_national_yearly!$D:$AM, 10, FALSE), 1)</f>
        <v>2.5774790817370694</v>
      </c>
      <c r="T14" s="7">
        <f>$B14 * IFERROR(VLOOKUP("industry|PM25|Minor restricted activity days", US_national_yearly!$D:$AM, 28, FALSE) / VLOOKUP("industry|PM25|Minor restricted activity days", US_national_yearly!$D:$AM, 10, FALSE), 1)</f>
        <v>2.597257141447622</v>
      </c>
      <c r="U14" s="7">
        <f>$B14 * IFERROR(VLOOKUP("industry|PM25|Minor restricted activity days", US_national_yearly!$D:$AM, 29, FALSE) / VLOOKUP("industry|PM25|Minor restricted activity days", US_national_yearly!$D:$AM, 10, FALSE), 1)</f>
        <v>2.6170352011581741</v>
      </c>
      <c r="V14" s="7">
        <f>$B14 * IFERROR(VLOOKUP("industry|PM25|Minor restricted activity days", US_national_yearly!$D:$AM, 30, FALSE) / VLOOKUP("industry|PM25|Minor restricted activity days", US_national_yearly!$D:$AM, 10, FALSE), 1)</f>
        <v>2.6368132608687258</v>
      </c>
      <c r="W14" s="7">
        <f>$B14 * IFERROR(VLOOKUP("industry|PM25|Minor restricted activity days", US_national_yearly!$D:$AM, 31, FALSE) / VLOOKUP("industry|PM25|Minor restricted activity days", US_national_yearly!$D:$AM, 10, FALSE), 1)</f>
        <v>2.6565913205792784</v>
      </c>
      <c r="X14" s="7">
        <f>$B14 * IFERROR(VLOOKUP("industry|PM25|Minor restricted activity days", US_national_yearly!$D:$AM, 32, FALSE) / VLOOKUP("industry|PM25|Minor restricted activity days", US_national_yearly!$D:$AM, 10, FALSE), 1)</f>
        <v>2.6737777301362784</v>
      </c>
      <c r="Y14" s="7">
        <f>$B14 * IFERROR(VLOOKUP("industry|PM25|Minor restricted activity days", US_national_yearly!$D:$AM, 33, FALSE) / VLOOKUP("industry|PM25|Minor restricted activity days", US_national_yearly!$D:$AM, 10, FALSE), 1)</f>
        <v>2.6909641396932784</v>
      </c>
      <c r="Z14" s="7">
        <f>$B14 * IFERROR(VLOOKUP("industry|PM25|Minor restricted activity days", US_national_yearly!$D:$AM, 34, FALSE) / VLOOKUP("industry|PM25|Minor restricted activity days", US_national_yearly!$D:$AM, 10, FALSE), 1)</f>
        <v>2.7081505492502789</v>
      </c>
      <c r="AA14" s="7">
        <f>$B14 * IFERROR(VLOOKUP("industry|PM25|Minor restricted activity days", US_national_yearly!$D:$AM, 35, FALSE) / VLOOKUP("industry|PM25|Minor restricted activity days", US_national_yearly!$D:$AM, 10, FALSE), 1)</f>
        <v>2.7253369588072793</v>
      </c>
      <c r="AB14" s="7">
        <f>$B14 * IFERROR(VLOOKUP("industry|PM25|Minor restricted activity days", US_national_yearly!$D:$AM, 36, FALSE) / VLOOKUP("industry|PM25|Minor restricted activity days", US_national_yearly!$D:$AM, 10, FALSE), 1)</f>
        <v>2.7425233683642793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0.39902879153463183</v>
      </c>
      <c r="C15" s="7">
        <f>$B15 * IFERROR(VLOOKUP("industry|PM25|Work loss days", US_national_yearly!$D:$AM, 11, FALSE) / VLOOKUP("industry|PM25|Work loss days", US_national_yearly!$D:$AM, 10, FALSE), 1)</f>
        <v>0.40026594099825574</v>
      </c>
      <c r="D15" s="7">
        <f>$B15 * IFERROR(VLOOKUP("industry|PM25|Work loss days", US_national_yearly!$D:$AM, 12, FALSE) / VLOOKUP("industry|PM25|Work loss days", US_national_yearly!$D:$AM, 10, FALSE), 1)</f>
        <v>0.40150309046187971</v>
      </c>
      <c r="E15" s="7">
        <f>$B15 * IFERROR(VLOOKUP("industry|PM25|Work loss days", US_national_yearly!$D:$AM, 13, FALSE) / VLOOKUP("industry|PM25|Work loss days", US_national_yearly!$D:$AM, 10, FALSE), 1)</f>
        <v>0.40274023992550351</v>
      </c>
      <c r="F15" s="7">
        <f>$B15 * IFERROR(VLOOKUP("industry|PM25|Work loss days", US_national_yearly!$D:$AM, 14, FALSE) / VLOOKUP("industry|PM25|Work loss days", US_national_yearly!$D:$AM, 10, FALSE), 1)</f>
        <v>0.40397738938912742</v>
      </c>
      <c r="G15" s="7">
        <f>$B15 * IFERROR(VLOOKUP("industry|PM25|Work loss days", US_national_yearly!$D:$AM, 15, FALSE) / VLOOKUP("industry|PM25|Work loss days", US_national_yearly!$D:$AM, 10, FALSE), 1)</f>
        <v>0.40559254218228202</v>
      </c>
      <c r="H15" s="7">
        <f>$B15 * IFERROR(VLOOKUP("industry|PM25|Work loss days", US_national_yearly!$D:$AM, 16, FALSE) / VLOOKUP("industry|PM25|Work loss days", US_national_yearly!$D:$AM, 10, FALSE), 1)</f>
        <v>0.40720769497543663</v>
      </c>
      <c r="I15" s="7">
        <f>$B15 * IFERROR(VLOOKUP("industry|PM25|Work loss days", US_national_yearly!$D:$AM, 17, FALSE) / VLOOKUP("industry|PM25|Work loss days", US_national_yearly!$D:$AM, 10, FALSE), 1)</f>
        <v>0.40957279270930835</v>
      </c>
      <c r="J15" s="7">
        <f>$B15 * IFERROR(VLOOKUP("industry|PM25|Work loss days", US_national_yearly!$D:$AM, 18, FALSE) / VLOOKUP("industry|PM25|Work loss days", US_national_yearly!$D:$AM, 10, FALSE), 1)</f>
        <v>0.41193789044318002</v>
      </c>
      <c r="K15" s="7">
        <f>$B15 * IFERROR(VLOOKUP("industry|PM25|Work loss days", US_national_yearly!$D:$AM, 19, FALSE) / VLOOKUP("industry|PM25|Work loss days", US_national_yearly!$D:$AM, 10, FALSE), 1)</f>
        <v>0.41430298817705163</v>
      </c>
      <c r="L15" s="7">
        <f>$B15 * IFERROR(VLOOKUP("industry|PM25|Work loss days", US_national_yearly!$D:$AM, 20, FALSE) / VLOOKUP("industry|PM25|Work loss days", US_national_yearly!$D:$AM, 10, FALSE), 1)</f>
        <v>0.41666808591092336</v>
      </c>
      <c r="M15" s="7">
        <f>$B15 * IFERROR(VLOOKUP("industry|PM25|Work loss days", US_national_yearly!$D:$AM, 21, FALSE) / VLOOKUP("industry|PM25|Work loss days", US_national_yearly!$D:$AM, 10, FALSE), 1)</f>
        <v>0.41903318364479508</v>
      </c>
      <c r="N15" s="7">
        <f>$B15 * IFERROR(VLOOKUP("industry|PM25|Work loss days", US_national_yearly!$D:$AM, 22, FALSE) / VLOOKUP("industry|PM25|Work loss days", US_national_yearly!$D:$AM, 10, FALSE), 1)</f>
        <v>0.42201762654721214</v>
      </c>
      <c r="O15" s="7">
        <f>$B15 * IFERROR(VLOOKUP("industry|PM25|Work loss days", US_national_yearly!$D:$AM, 23, FALSE) / VLOOKUP("industry|PM25|Work loss days", US_national_yearly!$D:$AM, 10, FALSE), 1)</f>
        <v>0.42500206944962926</v>
      </c>
      <c r="P15" s="7">
        <f>$B15 * IFERROR(VLOOKUP("industry|PM25|Work loss days", US_national_yearly!$D:$AM, 24, FALSE) / VLOOKUP("industry|PM25|Work loss days", US_national_yearly!$D:$AM, 10, FALSE), 1)</f>
        <v>0.42798651235204627</v>
      </c>
      <c r="Q15" s="7">
        <f>$B15 * IFERROR(VLOOKUP("industry|PM25|Work loss days", US_national_yearly!$D:$AM, 25, FALSE) / VLOOKUP("industry|PM25|Work loss days", US_national_yearly!$D:$AM, 10, FALSE), 1)</f>
        <v>0.43097095525446333</v>
      </c>
      <c r="R15" s="7">
        <f>$B15 * IFERROR(VLOOKUP("industry|PM25|Work loss days", US_national_yearly!$D:$AM, 26, FALSE) / VLOOKUP("industry|PM25|Work loss days", US_national_yearly!$D:$AM, 10, FALSE), 1)</f>
        <v>0.43395539815688033</v>
      </c>
      <c r="S15" s="7">
        <f>$B15 * IFERROR(VLOOKUP("industry|PM25|Work loss days", US_national_yearly!$D:$AM, 27, FALSE) / VLOOKUP("industry|PM25|Work loss days", US_national_yearly!$D:$AM, 10, FALSE), 1)</f>
        <v>0.43726472223574053</v>
      </c>
      <c r="T15" s="7">
        <f>$B15 * IFERROR(VLOOKUP("industry|PM25|Work loss days", US_national_yearly!$D:$AM, 28, FALSE) / VLOOKUP("industry|PM25|Work loss days", US_national_yearly!$D:$AM, 10, FALSE), 1)</f>
        <v>0.44057404631460062</v>
      </c>
      <c r="U15" s="7">
        <f>$B15 * IFERROR(VLOOKUP("industry|PM25|Work loss days", US_national_yearly!$D:$AM, 29, FALSE) / VLOOKUP("industry|PM25|Work loss days", US_national_yearly!$D:$AM, 10, FALSE), 1)</f>
        <v>0.44388337039346071</v>
      </c>
      <c r="V15" s="7">
        <f>$B15 * IFERROR(VLOOKUP("industry|PM25|Work loss days", US_national_yearly!$D:$AM, 30, FALSE) / VLOOKUP("industry|PM25|Work loss days", US_national_yearly!$D:$AM, 10, FALSE), 1)</f>
        <v>0.4471926944723208</v>
      </c>
      <c r="W15" s="7">
        <f>$B15 * IFERROR(VLOOKUP("industry|PM25|Work loss days", US_national_yearly!$D:$AM, 31, FALSE) / VLOOKUP("industry|PM25|Work loss days", US_national_yearly!$D:$AM, 10, FALSE), 1)</f>
        <v>0.45050201855118099</v>
      </c>
      <c r="X15" s="7">
        <f>$B15 * IFERROR(VLOOKUP("industry|PM25|Work loss days", US_national_yearly!$D:$AM, 32, FALSE) / VLOOKUP("industry|PM25|Work loss days", US_national_yearly!$D:$AM, 10, FALSE), 1)</f>
        <v>0.45344278813839911</v>
      </c>
      <c r="Y15" s="7">
        <f>$B15 * IFERROR(VLOOKUP("industry|PM25|Work loss days", US_national_yearly!$D:$AM, 33, FALSE) / VLOOKUP("industry|PM25|Work loss days", US_national_yearly!$D:$AM, 10, FALSE), 1)</f>
        <v>0.45638355772561728</v>
      </c>
      <c r="Z15" s="7">
        <f>$B15 * IFERROR(VLOOKUP("industry|PM25|Work loss days", US_national_yearly!$D:$AM, 34, FALSE) / VLOOKUP("industry|PM25|Work loss days", US_national_yearly!$D:$AM, 10, FALSE), 1)</f>
        <v>0.45932432731283551</v>
      </c>
      <c r="AA15" s="7">
        <f>$B15 * IFERROR(VLOOKUP("industry|PM25|Work loss days", US_national_yearly!$D:$AM, 35, FALSE) / VLOOKUP("industry|PM25|Work loss days", US_national_yearly!$D:$AM, 10, FALSE), 1)</f>
        <v>0.46226509690005363</v>
      </c>
      <c r="AB15" s="7">
        <f>$B15 * IFERROR(VLOOKUP("industry|PM25|Work loss days", US_national_yearly!$D:$AM, 36, FALSE) / VLOOKUP("industry|PM25|Work loss days", US_national_yearly!$D:$AM, 10, FALSE), 1)</f>
        <v>0.4652058664872718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6.73580830041319E-4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6.9372806451433974E-4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7.1387529898736058E-4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7.3402253346038131E-4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7.5416976793340194E-4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7.734794399890428E-4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7.9278911204468355E-4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8.0936815769564938E-4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8.2594720334661499E-4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8.4252624899758093E-4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8.5910529464854665E-4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8.7568434029951247E-4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8.8675920529981023E-4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8.9783407030010766E-4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9.0890893530040531E-4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9.1998380030070296E-4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9.3105866530100061E-4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9.369923093966976E-4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9.4292595349239469E-4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9.48859597588092E-4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9.5479324168378887E-4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9.6072688577948596E-4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9.6480148687626158E-4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9.6887608797303687E-4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9.7295068906981226E-4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9.7702529016658744E-4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9.8109989126336284E-4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1.8155481974995005E-5</v>
      </c>
      <c r="C2" s="7">
        <f>$B2 * IFERROR(VLOOKUP("industry|NOx|Premature mortality", US_national_yearly!$D:$AM, 11, FALSE) / VLOOKUP("industry|NOx|Premature mortality", US_national_yearly!$D:$AM, 10, FALSE), 1)</f>
        <v>1.8423942321536004E-5</v>
      </c>
      <c r="D2" s="7">
        <f>$B2 * IFERROR(VLOOKUP("industry|NOx|Premature mortality", US_national_yearly!$D:$AM, 12, FALSE) / VLOOKUP("industry|NOx|Premature mortality", US_national_yearly!$D:$AM, 10, FALSE), 1)</f>
        <v>1.869240266807701E-5</v>
      </c>
      <c r="E2" s="7">
        <f>$B2 * IFERROR(VLOOKUP("industry|NOx|Premature mortality", US_national_yearly!$D:$AM, 13, FALSE) / VLOOKUP("industry|NOx|Premature mortality", US_national_yearly!$D:$AM, 10, FALSE), 1)</f>
        <v>1.8960863014618009E-5</v>
      </c>
      <c r="F2" s="7">
        <f>$B2 * IFERROR(VLOOKUP("industry|NOx|Premature mortality", US_national_yearly!$D:$AM, 14, FALSE) / VLOOKUP("industry|NOx|Premature mortality", US_national_yearly!$D:$AM, 10, FALSE), 1)</f>
        <v>1.9229323361159011E-5</v>
      </c>
      <c r="G2" s="7">
        <f>$B2 * IFERROR(VLOOKUP("industry|NOx|Premature mortality", US_national_yearly!$D:$AM, 15, FALSE) / VLOOKUP("industry|NOx|Premature mortality", US_national_yearly!$D:$AM, 10, FALSE), 1)</f>
        <v>1.9710773296206318E-5</v>
      </c>
      <c r="H2" s="7">
        <f>$B2 * IFERROR(VLOOKUP("industry|NOx|Premature mortality", US_national_yearly!$D:$AM, 16, FALSE) / VLOOKUP("industry|NOx|Premature mortality", US_national_yearly!$D:$AM, 10, FALSE), 1)</f>
        <v>2.0192223231253624E-5</v>
      </c>
      <c r="I2" s="7">
        <f>$B2 * IFERROR(VLOOKUP("industry|NOx|Premature mortality", US_national_yearly!$D:$AM, 17, FALSE) / VLOOKUP("industry|NOx|Premature mortality", US_national_yearly!$D:$AM, 10, FALSE), 1)</f>
        <v>2.0504556004176269E-5</v>
      </c>
      <c r="J2" s="7">
        <f>$B2 * IFERROR(VLOOKUP("industry|NOx|Premature mortality", US_national_yearly!$D:$AM, 18, FALSE) / VLOOKUP("industry|NOx|Premature mortality", US_national_yearly!$D:$AM, 10, FALSE), 1)</f>
        <v>2.081688877709891E-5</v>
      </c>
      <c r="K2" s="7">
        <f>$B2 * IFERROR(VLOOKUP("industry|NOx|Premature mortality", US_national_yearly!$D:$AM, 19, FALSE) / VLOOKUP("industry|NOx|Premature mortality", US_national_yearly!$D:$AM, 10, FALSE), 1)</f>
        <v>2.1129221550021558E-5</v>
      </c>
      <c r="L2" s="7">
        <f>$B2 * IFERROR(VLOOKUP("industry|NOx|Premature mortality", US_national_yearly!$D:$AM, 20, FALSE) / VLOOKUP("industry|NOx|Premature mortality", US_national_yearly!$D:$AM, 10, FALSE), 1)</f>
        <v>2.1441554322944199E-5</v>
      </c>
      <c r="M2" s="7">
        <f>$B2 * IFERROR(VLOOKUP("industry|NOx|Premature mortality", US_national_yearly!$D:$AM, 21, FALSE) / VLOOKUP("industry|NOx|Premature mortality", US_national_yearly!$D:$AM, 10, FALSE), 1)</f>
        <v>2.1753887095866843E-5</v>
      </c>
      <c r="N2" s="7">
        <f>$B2 * IFERROR(VLOOKUP("industry|NOx|Premature mortality", US_national_yearly!$D:$AM, 22, FALSE) / VLOOKUP("industry|NOx|Premature mortality", US_national_yearly!$D:$AM, 10, FALSE), 1)</f>
        <v>2.1986303435364433E-5</v>
      </c>
      <c r="O2" s="7">
        <f>$B2 * IFERROR(VLOOKUP("industry|NOx|Premature mortality", US_national_yearly!$D:$AM, 23, FALSE) / VLOOKUP("industry|NOx|Premature mortality", US_national_yearly!$D:$AM, 10, FALSE), 1)</f>
        <v>2.2218719774862016E-5</v>
      </c>
      <c r="P2" s="7">
        <f>$B2 * IFERROR(VLOOKUP("industry|NOx|Premature mortality", US_national_yearly!$D:$AM, 24, FALSE) / VLOOKUP("industry|NOx|Premature mortality", US_national_yearly!$D:$AM, 10, FALSE), 1)</f>
        <v>2.24511361143596E-5</v>
      </c>
      <c r="Q2" s="7">
        <f>$B2 * IFERROR(VLOOKUP("industry|NOx|Premature mortality", US_national_yearly!$D:$AM, 25, FALSE) / VLOOKUP("industry|NOx|Premature mortality", US_national_yearly!$D:$AM, 10, FALSE), 1)</f>
        <v>2.2683552453857187E-5</v>
      </c>
      <c r="R2" s="7">
        <f>$B2 * IFERROR(VLOOKUP("industry|NOx|Premature mortality", US_national_yearly!$D:$AM, 26, FALSE) / VLOOKUP("industry|NOx|Premature mortality", US_national_yearly!$D:$AM, 10, FALSE), 1)</f>
        <v>2.291596879335477E-5</v>
      </c>
      <c r="S2" s="7">
        <f>$B2 * IFERROR(VLOOKUP("industry|NOx|Premature mortality", US_national_yearly!$D:$AM, 27, FALSE) / VLOOKUP("industry|NOx|Premature mortality", US_national_yearly!$D:$AM, 10, FALSE), 1)</f>
        <v>2.3024195873036512E-5</v>
      </c>
      <c r="T2" s="7">
        <f>$B2 * IFERROR(VLOOKUP("industry|NOx|Premature mortality", US_national_yearly!$D:$AM, 28, FALSE) / VLOOKUP("industry|NOx|Premature mortality", US_national_yearly!$D:$AM, 10, FALSE), 1)</f>
        <v>2.3132422952718253E-5</v>
      </c>
      <c r="U2" s="7">
        <f>$B2 * IFERROR(VLOOKUP("industry|NOx|Premature mortality", US_national_yearly!$D:$AM, 29, FALSE) / VLOOKUP("industry|NOx|Premature mortality", US_national_yearly!$D:$AM, 10, FALSE), 1)</f>
        <v>2.3240650032399995E-5</v>
      </c>
      <c r="V2" s="7">
        <f>$B2 * IFERROR(VLOOKUP("industry|NOx|Premature mortality", US_national_yearly!$D:$AM, 30, FALSE) / VLOOKUP("industry|NOx|Premature mortality", US_national_yearly!$D:$AM, 10, FALSE), 1)</f>
        <v>2.3348877112081737E-5</v>
      </c>
      <c r="W2" s="7">
        <f>$B2 * IFERROR(VLOOKUP("industry|NOx|Premature mortality", US_national_yearly!$D:$AM, 31, FALSE) / VLOOKUP("industry|NOx|Premature mortality", US_national_yearly!$D:$AM, 10, FALSE), 1)</f>
        <v>2.3457104191763472E-5</v>
      </c>
      <c r="X2" s="7">
        <f>$B2 * IFERROR(VLOOKUP("industry|NOx|Premature mortality", US_national_yearly!$D:$AM, 32, FALSE) / VLOOKUP("industry|NOx|Premature mortality", US_national_yearly!$D:$AM, 10, FALSE), 1)</f>
        <v>2.3465375251322027E-5</v>
      </c>
      <c r="Y2" s="7">
        <f>$B2 * IFERROR(VLOOKUP("industry|NOx|Premature mortality", US_national_yearly!$D:$AM, 33, FALSE) / VLOOKUP("industry|NOx|Premature mortality", US_national_yearly!$D:$AM, 10, FALSE), 1)</f>
        <v>2.3473646310880584E-5</v>
      </c>
      <c r="Z2" s="7">
        <f>$B2 * IFERROR(VLOOKUP("industry|NOx|Premature mortality", US_national_yearly!$D:$AM, 34, FALSE) / VLOOKUP("industry|NOx|Premature mortality", US_national_yearly!$D:$AM, 10, FALSE), 1)</f>
        <v>2.3481917370439139E-5</v>
      </c>
      <c r="AA2" s="7">
        <f>$B2 * IFERROR(VLOOKUP("industry|NOx|Premature mortality", US_national_yearly!$D:$AM, 35, FALSE) / VLOOKUP("industry|NOx|Premature mortality", US_national_yearly!$D:$AM, 10, FALSE), 1)</f>
        <v>2.3490188429997693E-5</v>
      </c>
      <c r="AB2" s="7">
        <f>$B2 * IFERROR(VLOOKUP("industry|NOx|Premature mortality", US_national_yearly!$D:$AM, 36, FALSE) / VLOOKUP("industry|NOx|Premature mortality", US_national_yearly!$D:$AM, 10, FALSE), 1)</f>
        <v>2.3498459489556248E-5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5.475678045248698E-8</v>
      </c>
      <c r="C3" s="7">
        <f>$B3 * IFERROR(VLOOKUP("industry|NOx|Infant mortality", US_national_yearly!$D:$AM, 11, FALSE) / VLOOKUP("industry|NOx|Infant mortality", US_national_yearly!$D:$AM, 10, FALSE), 1)</f>
        <v>5.42323839423527E-8</v>
      </c>
      <c r="D3" s="7">
        <f>$B3 * IFERROR(VLOOKUP("industry|NOx|Infant mortality", US_national_yearly!$D:$AM, 12, FALSE) / VLOOKUP("industry|NOx|Infant mortality", US_national_yearly!$D:$AM, 10, FALSE), 1)</f>
        <v>5.370798743221842E-8</v>
      </c>
      <c r="E3" s="7">
        <f>$B3 * IFERROR(VLOOKUP("industry|NOx|Infant mortality", US_national_yearly!$D:$AM, 13, FALSE) / VLOOKUP("industry|NOx|Infant mortality", US_national_yearly!$D:$AM, 10, FALSE), 1)</f>
        <v>5.3183590922084139E-8</v>
      </c>
      <c r="F3" s="7">
        <f>$B3 * IFERROR(VLOOKUP("industry|NOx|Infant mortality", US_national_yearly!$D:$AM, 14, FALSE) / VLOOKUP("industry|NOx|Infant mortality", US_national_yearly!$D:$AM, 10, FALSE), 1)</f>
        <v>5.2659194411949852E-8</v>
      </c>
      <c r="G3" s="7">
        <f>$B3 * IFERROR(VLOOKUP("industry|NOx|Infant mortality", US_national_yearly!$D:$AM, 15, FALSE) / VLOOKUP("industry|NOx|Infant mortality", US_national_yearly!$D:$AM, 10, FALSE), 1)</f>
        <v>3.4928224149440778E-8</v>
      </c>
      <c r="H3" s="7">
        <f>$B3 * IFERROR(VLOOKUP("industry|NOx|Infant mortality", US_national_yearly!$D:$AM, 16, FALSE) / VLOOKUP("industry|NOx|Infant mortality", US_national_yearly!$D:$AM, 10, FALSE), 1)</f>
        <v>1.7197253886931703E-8</v>
      </c>
      <c r="I3" s="7">
        <f>$B3 * IFERROR(VLOOKUP("industry|NOx|Infant mortality", US_national_yearly!$D:$AM, 17, FALSE) / VLOOKUP("industry|NOx|Infant mortality", US_national_yearly!$D:$AM, 10, FALSE), 1)</f>
        <v>1.707326911154557E-8</v>
      </c>
      <c r="J3" s="7">
        <f>$B3 * IFERROR(VLOOKUP("industry|NOx|Infant mortality", US_national_yearly!$D:$AM, 18, FALSE) / VLOOKUP("industry|NOx|Infant mortality", US_national_yearly!$D:$AM, 10, FALSE), 1)</f>
        <v>1.6949284336159438E-8</v>
      </c>
      <c r="K3" s="7">
        <f>$B3 * IFERROR(VLOOKUP("industry|NOx|Infant mortality", US_national_yearly!$D:$AM, 19, FALSE) / VLOOKUP("industry|NOx|Infant mortality", US_national_yearly!$D:$AM, 10, FALSE), 1)</f>
        <v>1.6825299560773305E-8</v>
      </c>
      <c r="L3" s="7">
        <f>$B3 * IFERROR(VLOOKUP("industry|NOx|Infant mortality", US_national_yearly!$D:$AM, 20, FALSE) / VLOOKUP("industry|NOx|Infant mortality", US_national_yearly!$D:$AM, 10, FALSE), 1)</f>
        <v>1.6701314785387166E-8</v>
      </c>
      <c r="M3" s="7">
        <f>$B3 * IFERROR(VLOOKUP("industry|NOx|Infant mortality", US_national_yearly!$D:$AM, 21, FALSE) / VLOOKUP("industry|NOx|Infant mortality", US_national_yearly!$D:$AM, 10, FALSE), 1)</f>
        <v>1.6577330010001033E-8</v>
      </c>
      <c r="N3" s="7">
        <f>$B3 * IFERROR(VLOOKUP("industry|NOx|Infant mortality", US_national_yearly!$D:$AM, 22, FALSE) / VLOOKUP("industry|NOx|Infant mortality", US_national_yearly!$D:$AM, 10, FALSE), 1)</f>
        <v>1.6493794660922361E-8</v>
      </c>
      <c r="O3" s="7">
        <f>$B3 * IFERROR(VLOOKUP("industry|NOx|Infant mortality", US_national_yearly!$D:$AM, 23, FALSE) / VLOOKUP("industry|NOx|Infant mortality", US_national_yearly!$D:$AM, 10, FALSE), 1)</f>
        <v>1.6410259311843685E-8</v>
      </c>
      <c r="P3" s="7">
        <f>$B3 * IFERROR(VLOOKUP("industry|NOx|Infant mortality", US_national_yearly!$D:$AM, 24, FALSE) / VLOOKUP("industry|NOx|Infant mortality", US_national_yearly!$D:$AM, 10, FALSE), 1)</f>
        <v>1.6326723962765013E-8</v>
      </c>
      <c r="Q3" s="7">
        <f>$B3 * IFERROR(VLOOKUP("industry|NOx|Infant mortality", US_national_yearly!$D:$AM, 25, FALSE) / VLOOKUP("industry|NOx|Infant mortality", US_national_yearly!$D:$AM, 10, FALSE), 1)</f>
        <v>1.6243188613686341E-8</v>
      </c>
      <c r="R3" s="7">
        <f>$B3 * IFERROR(VLOOKUP("industry|NOx|Infant mortality", US_national_yearly!$D:$AM, 26, FALSE) / VLOOKUP("industry|NOx|Infant mortality", US_national_yearly!$D:$AM, 10, FALSE), 1)</f>
        <v>1.6159653264607669E-8</v>
      </c>
      <c r="S3" s="7">
        <f>$B3 * IFERROR(VLOOKUP("industry|NOx|Infant mortality", US_national_yearly!$D:$AM, 27, FALSE) / VLOOKUP("industry|NOx|Infant mortality", US_national_yearly!$D:$AM, 10, FALSE), 1)</f>
        <v>1.6060456531028032E-8</v>
      </c>
      <c r="T3" s="7">
        <f>$B3 * IFERROR(VLOOKUP("industry|NOx|Infant mortality", US_national_yearly!$D:$AM, 28, FALSE) / VLOOKUP("industry|NOx|Infant mortality", US_national_yearly!$D:$AM, 10, FALSE), 1)</f>
        <v>1.5961259797448396E-8</v>
      </c>
      <c r="U3" s="7">
        <f>$B3 * IFERROR(VLOOKUP("industry|NOx|Infant mortality", US_national_yearly!$D:$AM, 29, FALSE) / VLOOKUP("industry|NOx|Infant mortality", US_national_yearly!$D:$AM, 10, FALSE), 1)</f>
        <v>1.5862063063868756E-8</v>
      </c>
      <c r="V3" s="7">
        <f>$B3 * IFERROR(VLOOKUP("industry|NOx|Infant mortality", US_national_yearly!$D:$AM, 30, FALSE) / VLOOKUP("industry|NOx|Infant mortality", US_national_yearly!$D:$AM, 10, FALSE), 1)</f>
        <v>1.576286633028912E-8</v>
      </c>
      <c r="W3" s="7">
        <f>$B3 * IFERROR(VLOOKUP("industry|NOx|Infant mortality", US_national_yearly!$D:$AM, 31, FALSE) / VLOOKUP("industry|NOx|Infant mortality", US_national_yearly!$D:$AM, 10, FALSE), 1)</f>
        <v>1.5663669596709487E-8</v>
      </c>
      <c r="X3" s="7">
        <f>$B3 * IFERROR(VLOOKUP("industry|NOx|Infant mortality", US_national_yearly!$D:$AM, 32, FALSE) / VLOOKUP("industry|NOx|Infant mortality", US_national_yearly!$D:$AM, 10, FALSE), 1)</f>
        <v>1.5559502042587875E-8</v>
      </c>
      <c r="Y3" s="7">
        <f>$B3 * IFERROR(VLOOKUP("industry|NOx|Infant mortality", US_national_yearly!$D:$AM, 33, FALSE) / VLOOKUP("industry|NOx|Infant mortality", US_national_yearly!$D:$AM, 10, FALSE), 1)</f>
        <v>1.5455334488466264E-8</v>
      </c>
      <c r="Z3" s="7">
        <f>$B3 * IFERROR(VLOOKUP("industry|NOx|Infant mortality", US_national_yearly!$D:$AM, 34, FALSE) / VLOOKUP("industry|NOx|Infant mortality", US_national_yearly!$D:$AM, 10, FALSE), 1)</f>
        <v>1.5351166934344653E-8</v>
      </c>
      <c r="AA3" s="7">
        <f>$B3 * IFERROR(VLOOKUP("industry|NOx|Infant mortality", US_national_yearly!$D:$AM, 35, FALSE) / VLOOKUP("industry|NOx|Infant mortality", US_national_yearly!$D:$AM, 10, FALSE), 1)</f>
        <v>1.5246999380223045E-8</v>
      </c>
      <c r="AB3" s="7">
        <f>$B3 * IFERROR(VLOOKUP("industry|NOx|Infant mortality", US_national_yearly!$D:$AM, 36, FALSE) / VLOOKUP("industry|NOx|Infant mortality", US_national_yearly!$D:$AM, 10, FALSE), 1)</f>
        <v>1.5142831826101434E-8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5.2382752640411123E-5</v>
      </c>
      <c r="C6" s="7">
        <f>$B6 * IFERROR(VLOOKUP("industry|NOx|Asthma symptoms cough", US_national_yearly!$D:$AM, 11, FALSE) / VLOOKUP("industry|NOx|Asthma symptoms cough", US_national_yearly!$D:$AM, 10, FALSE), 1)</f>
        <v>5.3099366470944636E-5</v>
      </c>
      <c r="D6" s="7">
        <f>$B6 * IFERROR(VLOOKUP("industry|NOx|Asthma symptoms cough", US_national_yearly!$D:$AM, 12, FALSE) / VLOOKUP("industry|NOx|Asthma symptoms cough", US_national_yearly!$D:$AM, 10, FALSE), 1)</f>
        <v>5.3815980301478148E-5</v>
      </c>
      <c r="E6" s="7">
        <f>$B6 * IFERROR(VLOOKUP("industry|NOx|Asthma symptoms cough", US_national_yearly!$D:$AM, 13, FALSE) / VLOOKUP("industry|NOx|Asthma symptoms cough", US_national_yearly!$D:$AM, 10, FALSE), 1)</f>
        <v>5.4532594132011661E-5</v>
      </c>
      <c r="F6" s="7">
        <f>$B6 * IFERROR(VLOOKUP("industry|NOx|Asthma symptoms cough", US_national_yearly!$D:$AM, 14, FALSE) / VLOOKUP("industry|NOx|Asthma symptoms cough", US_national_yearly!$D:$AM, 10, FALSE), 1)</f>
        <v>5.524920796254518E-5</v>
      </c>
      <c r="G6" s="7">
        <f>$B6 * IFERROR(VLOOKUP("industry|NOx|Asthma symptoms cough", US_national_yearly!$D:$AM, 15, FALSE) / VLOOKUP("industry|NOx|Asthma symptoms cough", US_national_yearly!$D:$AM, 10, FALSE), 1)</f>
        <v>5.5823821080991749E-5</v>
      </c>
      <c r="H6" s="7">
        <f>$B6 * IFERROR(VLOOKUP("industry|NOx|Asthma symptoms cough", US_national_yearly!$D:$AM, 16, FALSE) / VLOOKUP("industry|NOx|Asthma symptoms cough", US_national_yearly!$D:$AM, 10, FALSE), 1)</f>
        <v>5.6398434199438331E-5</v>
      </c>
      <c r="I6" s="7">
        <f>$B6 * IFERROR(VLOOKUP("industry|NOx|Asthma symptoms cough", US_national_yearly!$D:$AM, 17, FALSE) / VLOOKUP("industry|NOx|Asthma symptoms cough", US_national_yearly!$D:$AM, 10, FALSE), 1)</f>
        <v>5.6598404658641471E-5</v>
      </c>
      <c r="J6" s="7">
        <f>$B6 * IFERROR(VLOOKUP("industry|NOx|Asthma symptoms cough", US_national_yearly!$D:$AM, 18, FALSE) / VLOOKUP("industry|NOx|Asthma symptoms cough", US_national_yearly!$D:$AM, 10, FALSE), 1)</f>
        <v>5.6798375117844617E-5</v>
      </c>
      <c r="K6" s="7">
        <f>$B6 * IFERROR(VLOOKUP("industry|NOx|Asthma symptoms cough", US_national_yearly!$D:$AM, 19, FALSE) / VLOOKUP("industry|NOx|Asthma symptoms cough", US_national_yearly!$D:$AM, 10, FALSE), 1)</f>
        <v>5.6998345577047757E-5</v>
      </c>
      <c r="L6" s="7">
        <f>$B6 * IFERROR(VLOOKUP("industry|NOx|Asthma symptoms cough", US_national_yearly!$D:$AM, 20, FALSE) / VLOOKUP("industry|NOx|Asthma symptoms cough", US_national_yearly!$D:$AM, 10, FALSE), 1)</f>
        <v>5.7198316036250904E-5</v>
      </c>
      <c r="M6" s="7">
        <f>$B6 * IFERROR(VLOOKUP("industry|NOx|Asthma symptoms cough", US_national_yearly!$D:$AM, 21, FALSE) / VLOOKUP("industry|NOx|Asthma symptoms cough", US_national_yearly!$D:$AM, 10, FALSE), 1)</f>
        <v>5.7398286495454051E-5</v>
      </c>
      <c r="N6" s="7">
        <f>$B6 * IFERROR(VLOOKUP("industry|NOx|Asthma symptoms cough", US_national_yearly!$D:$AM, 22, FALSE) / VLOOKUP("industry|NOx|Asthma symptoms cough", US_national_yearly!$D:$AM, 10, FALSE), 1)</f>
        <v>5.7626558233562579E-5</v>
      </c>
      <c r="O6" s="7">
        <f>$B6 * IFERROR(VLOOKUP("industry|NOx|Asthma symptoms cough", US_national_yearly!$D:$AM, 23, FALSE) / VLOOKUP("industry|NOx|Asthma symptoms cough", US_national_yearly!$D:$AM, 10, FALSE), 1)</f>
        <v>5.7854829971671094E-5</v>
      </c>
      <c r="P6" s="7">
        <f>$B6 * IFERROR(VLOOKUP("industry|NOx|Asthma symptoms cough", US_national_yearly!$D:$AM, 24, FALSE) / VLOOKUP("industry|NOx|Asthma symptoms cough", US_national_yearly!$D:$AM, 10, FALSE), 1)</f>
        <v>5.8083101709779622E-5</v>
      </c>
      <c r="Q6" s="7">
        <f>$B6 * IFERROR(VLOOKUP("industry|NOx|Asthma symptoms cough", US_national_yearly!$D:$AM, 25, FALSE) / VLOOKUP("industry|NOx|Asthma symptoms cough", US_national_yearly!$D:$AM, 10, FALSE), 1)</f>
        <v>5.8311373447888151E-5</v>
      </c>
      <c r="R6" s="7">
        <f>$B6 * IFERROR(VLOOKUP("industry|NOx|Asthma symptoms cough", US_national_yearly!$D:$AM, 26, FALSE) / VLOOKUP("industry|NOx|Asthma symptoms cough", US_national_yearly!$D:$AM, 10, FALSE), 1)</f>
        <v>5.8539645185996672E-5</v>
      </c>
      <c r="S6" s="7">
        <f>$B6 * IFERROR(VLOOKUP("industry|NOx|Asthma symptoms cough", US_national_yearly!$D:$AM, 27, FALSE) / VLOOKUP("industry|NOx|Asthma symptoms cough", US_national_yearly!$D:$AM, 10, FALSE), 1)</f>
        <v>5.8834105628043177E-5</v>
      </c>
      <c r="T6" s="7">
        <f>$B6 * IFERROR(VLOOKUP("industry|NOx|Asthma symptoms cough", US_national_yearly!$D:$AM, 28, FALSE) / VLOOKUP("industry|NOx|Asthma symptoms cough", US_national_yearly!$D:$AM, 10, FALSE), 1)</f>
        <v>5.9128566070089674E-5</v>
      </c>
      <c r="U6" s="7">
        <f>$B6 * IFERROR(VLOOKUP("industry|NOx|Asthma symptoms cough", US_national_yearly!$D:$AM, 29, FALSE) / VLOOKUP("industry|NOx|Asthma symptoms cough", US_national_yearly!$D:$AM, 10, FALSE), 1)</f>
        <v>5.9423026512136172E-5</v>
      </c>
      <c r="V6" s="7">
        <f>$B6 * IFERROR(VLOOKUP("industry|NOx|Asthma symptoms cough", US_national_yearly!$D:$AM, 30, FALSE) / VLOOKUP("industry|NOx|Asthma symptoms cough", US_national_yearly!$D:$AM, 10, FALSE), 1)</f>
        <v>5.9717486954182656E-5</v>
      </c>
      <c r="W6" s="7">
        <f>$B6 * IFERROR(VLOOKUP("industry|NOx|Asthma symptoms cough", US_national_yearly!$D:$AM, 31, FALSE) / VLOOKUP("industry|NOx|Asthma symptoms cough", US_national_yearly!$D:$AM, 10, FALSE), 1)</f>
        <v>6.0011947396229167E-5</v>
      </c>
      <c r="X6" s="7">
        <f>$B6 * IFERROR(VLOOKUP("industry|NOx|Asthma symptoms cough", US_national_yearly!$D:$AM, 32, FALSE) / VLOOKUP("industry|NOx|Asthma symptoms cough", US_national_yearly!$D:$AM, 10, FALSE), 1)</f>
        <v>6.0284934869607171E-5</v>
      </c>
      <c r="Y6" s="7">
        <f>$B6 * IFERROR(VLOOKUP("industry|NOx|Asthma symptoms cough", US_national_yearly!$D:$AM, 33, FALSE) / VLOOKUP("industry|NOx|Asthma symptoms cough", US_national_yearly!$D:$AM, 10, FALSE), 1)</f>
        <v>6.055792234298516E-5</v>
      </c>
      <c r="Z6" s="7">
        <f>$B6 * IFERROR(VLOOKUP("industry|NOx|Asthma symptoms cough", US_national_yearly!$D:$AM, 34, FALSE) / VLOOKUP("industry|NOx|Asthma symptoms cough", US_national_yearly!$D:$AM, 10, FALSE), 1)</f>
        <v>6.0830909816363163E-5</v>
      </c>
      <c r="AA6" s="7">
        <f>$B6 * IFERROR(VLOOKUP("industry|NOx|Asthma symptoms cough", US_national_yearly!$D:$AM, 35, FALSE) / VLOOKUP("industry|NOx|Asthma symptoms cough", US_national_yearly!$D:$AM, 10, FALSE), 1)</f>
        <v>6.1103897289741153E-5</v>
      </c>
      <c r="AB6" s="7">
        <f>$B6 * IFERROR(VLOOKUP("industry|NOx|Asthma symptoms cough", US_national_yearly!$D:$AM, 36, FALSE) / VLOOKUP("industry|NOx|Asthma symptoms cough", US_national_yearly!$D:$AM, 10, FALSE), 1)</f>
        <v>6.137688476311915E-5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7.0540973223876175E-5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7.1505997671357502E-5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7.2471022118838829E-5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7.3436046566320156E-5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7.440107101380151E-5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7.5174870908028727E-5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7.5948670802255972E-5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7.6217960022683629E-5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7.6487249243111299E-5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7.6756538463538957E-5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7.7025827683966654E-5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7.7295116904394325E-5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7.760251790160453E-5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7.7909918898814735E-5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7.8217319896024966E-5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7.8524720893235185E-5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7.8832121890445389E-5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7.9228655577216287E-5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7.9625189263987184E-5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8.0021722950758081E-5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8.0418256637528992E-5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8.0814790324299862E-5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8.1182407544389074E-5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8.1550024764478273E-5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8.1917641984567471E-5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8.2285259204656656E-5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8.2652876424745854E-5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1.0777466669670089E-4</v>
      </c>
      <c r="C8" s="7">
        <f>$B8 * IFERROR(VLOOKUP("industry|NOx|Asthma symptoms wheeze", US_national_yearly!$D:$AM, 11, FALSE) / VLOOKUP("industry|NOx|Asthma symptoms wheeze", US_national_yearly!$D:$AM, 10, FALSE), 1)</f>
        <v>1.0924906070799482E-4</v>
      </c>
      <c r="D8" s="7">
        <f>$B8 * IFERROR(VLOOKUP("industry|NOx|Asthma symptoms wheeze", US_national_yearly!$D:$AM, 12, FALSE) / VLOOKUP("industry|NOx|Asthma symptoms wheeze", US_national_yearly!$D:$AM, 10, FALSE), 1)</f>
        <v>1.1072345471928876E-4</v>
      </c>
      <c r="E8" s="7">
        <f>$B8 * IFERROR(VLOOKUP("industry|NOx|Asthma symptoms wheeze", US_national_yearly!$D:$AM, 13, FALSE) / VLOOKUP("industry|NOx|Asthma symptoms wheeze", US_national_yearly!$D:$AM, 10, FALSE), 1)</f>
        <v>1.1219784873058268E-4</v>
      </c>
      <c r="F8" s="7">
        <f>$B8 * IFERROR(VLOOKUP("industry|NOx|Asthma symptoms wheeze", US_national_yearly!$D:$AM, 14, FALSE) / VLOOKUP("industry|NOx|Asthma symptoms wheeze", US_national_yearly!$D:$AM, 10, FALSE), 1)</f>
        <v>1.1367224274187659E-4</v>
      </c>
      <c r="G8" s="7">
        <f>$B8 * IFERROR(VLOOKUP("industry|NOx|Asthma symptoms wheeze", US_national_yearly!$D:$AM, 15, FALSE) / VLOOKUP("industry|NOx|Asthma symptoms wheeze", US_national_yearly!$D:$AM, 10, FALSE), 1)</f>
        <v>1.1485447800550856E-4</v>
      </c>
      <c r="H8" s="7">
        <f>$B8 * IFERROR(VLOOKUP("industry|NOx|Asthma symptoms wheeze", US_national_yearly!$D:$AM, 16, FALSE) / VLOOKUP("industry|NOx|Asthma symptoms wheeze", US_national_yearly!$D:$AM, 10, FALSE), 1)</f>
        <v>1.1603671326914047E-4</v>
      </c>
      <c r="I8" s="7">
        <f>$B8 * IFERROR(VLOOKUP("industry|NOx|Asthma symptoms wheeze", US_national_yearly!$D:$AM, 17, FALSE) / VLOOKUP("industry|NOx|Asthma symptoms wheeze", US_national_yearly!$D:$AM, 10, FALSE), 1)</f>
        <v>1.1644814162182499E-4</v>
      </c>
      <c r="J8" s="7">
        <f>$B8 * IFERROR(VLOOKUP("industry|NOx|Asthma symptoms wheeze", US_national_yearly!$D:$AM, 18, FALSE) / VLOOKUP("industry|NOx|Asthma symptoms wheeze", US_national_yearly!$D:$AM, 10, FALSE), 1)</f>
        <v>1.1685956997450948E-4</v>
      </c>
      <c r="K8" s="7">
        <f>$B8 * IFERROR(VLOOKUP("industry|NOx|Asthma symptoms wheeze", US_national_yearly!$D:$AM, 19, FALSE) / VLOOKUP("industry|NOx|Asthma symptoms wheeze", US_national_yearly!$D:$AM, 10, FALSE), 1)</f>
        <v>1.17270998327194E-4</v>
      </c>
      <c r="L8" s="7">
        <f>$B8 * IFERROR(VLOOKUP("industry|NOx|Asthma symptoms wheeze", US_national_yearly!$D:$AM, 20, FALSE) / VLOOKUP("industry|NOx|Asthma symptoms wheeze", US_national_yearly!$D:$AM, 10, FALSE), 1)</f>
        <v>1.1768242667987848E-4</v>
      </c>
      <c r="M8" s="7">
        <f>$B8 * IFERROR(VLOOKUP("industry|NOx|Asthma symptoms wheeze", US_national_yearly!$D:$AM, 21, FALSE) / VLOOKUP("industry|NOx|Asthma symptoms wheeze", US_national_yearly!$D:$AM, 10, FALSE), 1)</f>
        <v>1.18093855032563E-4</v>
      </c>
      <c r="N8" s="7">
        <f>$B8 * IFERROR(VLOOKUP("industry|NOx|Asthma symptoms wheeze", US_national_yearly!$D:$AM, 22, FALSE) / VLOOKUP("industry|NOx|Asthma symptoms wheeze", US_national_yearly!$D:$AM, 10, FALSE), 1)</f>
        <v>1.185635117285023E-4</v>
      </c>
      <c r="O8" s="7">
        <f>$B8 * IFERROR(VLOOKUP("industry|NOx|Asthma symptoms wheeze", US_national_yearly!$D:$AM, 23, FALSE) / VLOOKUP("industry|NOx|Asthma symptoms wheeze", US_national_yearly!$D:$AM, 10, FALSE), 1)</f>
        <v>1.1903316842444159E-4</v>
      </c>
      <c r="P8" s="7">
        <f>$B8 * IFERROR(VLOOKUP("industry|NOx|Asthma symptoms wheeze", US_national_yearly!$D:$AM, 24, FALSE) / VLOOKUP("industry|NOx|Asthma symptoms wheeze", US_national_yearly!$D:$AM, 10, FALSE), 1)</f>
        <v>1.1950282512038086E-4</v>
      </c>
      <c r="Q8" s="7">
        <f>$B8 * IFERROR(VLOOKUP("industry|NOx|Asthma symptoms wheeze", US_national_yearly!$D:$AM, 25, FALSE) / VLOOKUP("industry|NOx|Asthma symptoms wheeze", US_national_yearly!$D:$AM, 10, FALSE), 1)</f>
        <v>1.1997248181632015E-4</v>
      </c>
      <c r="R8" s="7">
        <f>$B8 * IFERROR(VLOOKUP("industry|NOx|Asthma symptoms wheeze", US_national_yearly!$D:$AM, 26, FALSE) / VLOOKUP("industry|NOx|Asthma symptoms wheeze", US_national_yearly!$D:$AM, 10, FALSE), 1)</f>
        <v>1.2044213851225945E-4</v>
      </c>
      <c r="S8" s="7">
        <f>$B8 * IFERROR(VLOOKUP("industry|NOx|Asthma symptoms wheeze", US_national_yearly!$D:$AM, 27, FALSE) / VLOOKUP("industry|NOx|Asthma symptoms wheeze", US_national_yearly!$D:$AM, 10, FALSE), 1)</f>
        <v>1.2104797486938417E-4</v>
      </c>
      <c r="T8" s="7">
        <f>$B8 * IFERROR(VLOOKUP("industry|NOx|Asthma symptoms wheeze", US_national_yearly!$D:$AM, 28, FALSE) / VLOOKUP("industry|NOx|Asthma symptoms wheeze", US_national_yearly!$D:$AM, 10, FALSE), 1)</f>
        <v>1.2165381122650888E-4</v>
      </c>
      <c r="U8" s="7">
        <f>$B8 * IFERROR(VLOOKUP("industry|NOx|Asthma symptoms wheeze", US_national_yearly!$D:$AM, 29, FALSE) / VLOOKUP("industry|NOx|Asthma symptoms wheeze", US_national_yearly!$D:$AM, 10, FALSE), 1)</f>
        <v>1.222596475836336E-4</v>
      </c>
      <c r="V8" s="7">
        <f>$B8 * IFERROR(VLOOKUP("industry|NOx|Asthma symptoms wheeze", US_national_yearly!$D:$AM, 30, FALSE) / VLOOKUP("industry|NOx|Asthma symptoms wheeze", US_national_yearly!$D:$AM, 10, FALSE), 1)</f>
        <v>1.2286548394075831E-4</v>
      </c>
      <c r="W8" s="7">
        <f>$B8 * IFERROR(VLOOKUP("industry|NOx|Asthma symptoms wheeze", US_national_yearly!$D:$AM, 31, FALSE) / VLOOKUP("industry|NOx|Asthma symptoms wheeze", US_national_yearly!$D:$AM, 10, FALSE), 1)</f>
        <v>1.2347132029788302E-4</v>
      </c>
      <c r="X8" s="7">
        <f>$B8 * IFERROR(VLOOKUP("industry|NOx|Asthma symptoms wheeze", US_national_yearly!$D:$AM, 32, FALSE) / VLOOKUP("industry|NOx|Asthma symptoms wheeze", US_national_yearly!$D:$AM, 10, FALSE), 1)</f>
        <v>1.2403297718890726E-4</v>
      </c>
      <c r="Y8" s="7">
        <f>$B8 * IFERROR(VLOOKUP("industry|NOx|Asthma symptoms wheeze", US_national_yearly!$D:$AM, 33, FALSE) / VLOOKUP("industry|NOx|Asthma symptoms wheeze", US_national_yearly!$D:$AM, 10, FALSE), 1)</f>
        <v>1.245946340799315E-4</v>
      </c>
      <c r="Z8" s="7">
        <f>$B8 * IFERROR(VLOOKUP("industry|NOx|Asthma symptoms wheeze", US_national_yearly!$D:$AM, 34, FALSE) / VLOOKUP("industry|NOx|Asthma symptoms wheeze", US_national_yearly!$D:$AM, 10, FALSE), 1)</f>
        <v>1.2515629097095574E-4</v>
      </c>
      <c r="AA8" s="7">
        <f>$B8 * IFERROR(VLOOKUP("industry|NOx|Asthma symptoms wheeze", US_national_yearly!$D:$AM, 35, FALSE) / VLOOKUP("industry|NOx|Asthma symptoms wheeze", US_national_yearly!$D:$AM, 10, FALSE), 1)</f>
        <v>1.2571794786197995E-4</v>
      </c>
      <c r="AB8" s="7">
        <f>$B8 * IFERROR(VLOOKUP("industry|NOx|Asthma symptoms wheeze", US_national_yearly!$D:$AM, 36, FALSE) / VLOOKUP("industry|NOx|Asthma symptoms wheeze", US_national_yearly!$D:$AM, 10, FALSE), 1)</f>
        <v>1.2627960475300427E-4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1.382502795067895E-6</v>
      </c>
      <c r="C12" s="7">
        <f>$B12 * IFERROR(VLOOKUP("industry|NOx|Respiratory hospital admissions", US_national_yearly!$D:$AM, 11, FALSE) / VLOOKUP("industry|NOx|Respiratory hospital admissions", US_national_yearly!$D:$AM, 10, FALSE), 1)</f>
        <v>1.4172358455309072E-6</v>
      </c>
      <c r="D12" s="7">
        <f>$B12 * IFERROR(VLOOKUP("industry|NOx|Respiratory hospital admissions", US_national_yearly!$D:$AM, 12, FALSE) / VLOOKUP("industry|NOx|Respiratory hospital admissions", US_national_yearly!$D:$AM, 10, FALSE), 1)</f>
        <v>1.4519688959939194E-6</v>
      </c>
      <c r="E12" s="7">
        <f>$B12 * IFERROR(VLOOKUP("industry|NOx|Respiratory hospital admissions", US_national_yearly!$D:$AM, 13, FALSE) / VLOOKUP("industry|NOx|Respiratory hospital admissions", US_national_yearly!$D:$AM, 10, FALSE), 1)</f>
        <v>1.4867019464569321E-6</v>
      </c>
      <c r="F12" s="7">
        <f>$B12 * IFERROR(VLOOKUP("industry|NOx|Respiratory hospital admissions", US_national_yearly!$D:$AM, 14, FALSE) / VLOOKUP("industry|NOx|Respiratory hospital admissions", US_national_yearly!$D:$AM, 10, FALSE), 1)</f>
        <v>1.5214349969199441E-6</v>
      </c>
      <c r="G12" s="7">
        <f>$B12 * IFERROR(VLOOKUP("industry|NOx|Respiratory hospital admissions", US_national_yearly!$D:$AM, 15, FALSE) / VLOOKUP("industry|NOx|Respiratory hospital admissions", US_national_yearly!$D:$AM, 10, FALSE), 1)</f>
        <v>1.5546587041709135E-6</v>
      </c>
      <c r="H12" s="7">
        <f>$B12 * IFERROR(VLOOKUP("industry|NOx|Respiratory hospital admissions", US_national_yearly!$D:$AM, 16, FALSE) / VLOOKUP("industry|NOx|Respiratory hospital admissions", US_national_yearly!$D:$AM, 10, FALSE), 1)</f>
        <v>1.5878824114218831E-6</v>
      </c>
      <c r="I12" s="7">
        <f>$B12 * IFERROR(VLOOKUP("industry|NOx|Respiratory hospital admissions", US_national_yearly!$D:$AM, 17, FALSE) / VLOOKUP("industry|NOx|Respiratory hospital admissions", US_national_yearly!$D:$AM, 10, FALSE), 1)</f>
        <v>1.6161769096637059E-6</v>
      </c>
      <c r="J12" s="7">
        <f>$B12 * IFERROR(VLOOKUP("industry|NOx|Respiratory hospital admissions", US_national_yearly!$D:$AM, 18, FALSE) / VLOOKUP("industry|NOx|Respiratory hospital admissions", US_national_yearly!$D:$AM, 10, FALSE), 1)</f>
        <v>1.6444714079055286E-6</v>
      </c>
      <c r="K12" s="7">
        <f>$B12 * IFERROR(VLOOKUP("industry|NOx|Respiratory hospital admissions", US_national_yearly!$D:$AM, 19, FALSE) / VLOOKUP("industry|NOx|Respiratory hospital admissions", US_national_yearly!$D:$AM, 10, FALSE), 1)</f>
        <v>1.6727659061473516E-6</v>
      </c>
      <c r="L12" s="7">
        <f>$B12 * IFERROR(VLOOKUP("industry|NOx|Respiratory hospital admissions", US_national_yearly!$D:$AM, 20, FALSE) / VLOOKUP("industry|NOx|Respiratory hospital admissions", US_national_yearly!$D:$AM, 10, FALSE), 1)</f>
        <v>1.7010604043891748E-6</v>
      </c>
      <c r="M12" s="7">
        <f>$B12 * IFERROR(VLOOKUP("industry|NOx|Respiratory hospital admissions", US_national_yearly!$D:$AM, 21, FALSE) / VLOOKUP("industry|NOx|Respiratory hospital admissions", US_national_yearly!$D:$AM, 10, FALSE), 1)</f>
        <v>1.7293549026309974E-6</v>
      </c>
      <c r="N12" s="7">
        <f>$B12 * IFERROR(VLOOKUP("industry|NOx|Respiratory hospital admissions", US_national_yearly!$D:$AM, 22, FALSE) / VLOOKUP("industry|NOx|Respiratory hospital admissions", US_national_yearly!$D:$AM, 10, FALSE), 1)</f>
        <v>1.7483183560427855E-6</v>
      </c>
      <c r="O12" s="7">
        <f>$B12 * IFERROR(VLOOKUP("industry|NOx|Respiratory hospital admissions", US_national_yearly!$D:$AM, 23, FALSE) / VLOOKUP("industry|NOx|Respiratory hospital admissions", US_national_yearly!$D:$AM, 10, FALSE), 1)</f>
        <v>1.7672818094545731E-6</v>
      </c>
      <c r="P12" s="7">
        <f>$B12 * IFERROR(VLOOKUP("industry|NOx|Respiratory hospital admissions", US_national_yearly!$D:$AM, 24, FALSE) / VLOOKUP("industry|NOx|Respiratory hospital admissions", US_national_yearly!$D:$AM, 10, FALSE), 1)</f>
        <v>1.7862452628663612E-6</v>
      </c>
      <c r="Q12" s="7">
        <f>$B12 * IFERROR(VLOOKUP("industry|NOx|Respiratory hospital admissions", US_national_yearly!$D:$AM, 25, FALSE) / VLOOKUP("industry|NOx|Respiratory hospital admissions", US_national_yearly!$D:$AM, 10, FALSE), 1)</f>
        <v>1.8052087162781488E-6</v>
      </c>
      <c r="R12" s="7">
        <f>$B12 * IFERROR(VLOOKUP("industry|NOx|Respiratory hospital admissions", US_national_yearly!$D:$AM, 26, FALSE) / VLOOKUP("industry|NOx|Respiratory hospital admissions", US_national_yearly!$D:$AM, 10, FALSE), 1)</f>
        <v>1.8241721696899367E-6</v>
      </c>
      <c r="S12" s="7">
        <f>$B12 * IFERROR(VLOOKUP("industry|NOx|Respiratory hospital admissions", US_national_yearly!$D:$AM, 27, FALSE) / VLOOKUP("industry|NOx|Respiratory hospital admissions", US_national_yearly!$D:$AM, 10, FALSE), 1)</f>
        <v>1.8344676772127627E-6</v>
      </c>
      <c r="T12" s="7">
        <f>$B12 * IFERROR(VLOOKUP("industry|NOx|Respiratory hospital admissions", US_national_yearly!$D:$AM, 28, FALSE) / VLOOKUP("industry|NOx|Respiratory hospital admissions", US_national_yearly!$D:$AM, 10, FALSE), 1)</f>
        <v>1.8447631847355888E-6</v>
      </c>
      <c r="U12" s="7">
        <f>$B12 * IFERROR(VLOOKUP("industry|NOx|Respiratory hospital admissions", US_national_yearly!$D:$AM, 29, FALSE) / VLOOKUP("industry|NOx|Respiratory hospital admissions", US_national_yearly!$D:$AM, 10, FALSE), 1)</f>
        <v>1.8550586922584148E-6</v>
      </c>
      <c r="V12" s="7">
        <f>$B12 * IFERROR(VLOOKUP("industry|NOx|Respiratory hospital admissions", US_national_yearly!$D:$AM, 30, FALSE) / VLOOKUP("industry|NOx|Respiratory hospital admissions", US_national_yearly!$D:$AM, 10, FALSE), 1)</f>
        <v>1.8653541997812407E-6</v>
      </c>
      <c r="W12" s="7">
        <f>$B12 * IFERROR(VLOOKUP("industry|NOx|Respiratory hospital admissions", US_national_yearly!$D:$AM, 31, FALSE) / VLOOKUP("industry|NOx|Respiratory hospital admissions", US_national_yearly!$D:$AM, 10, FALSE), 1)</f>
        <v>1.8756497073040669E-6</v>
      </c>
      <c r="X12" s="7">
        <f>$B12 * IFERROR(VLOOKUP("industry|NOx|Respiratory hospital admissions", US_national_yearly!$D:$AM, 32, FALSE) / VLOOKUP("industry|NOx|Respiratory hospital admissions", US_national_yearly!$D:$AM, 10, FALSE), 1)</f>
        <v>1.8828283693643875E-6</v>
      </c>
      <c r="Y12" s="7">
        <f>$B12 * IFERROR(VLOOKUP("industry|NOx|Respiratory hospital admissions", US_national_yearly!$D:$AM, 33, FALSE) / VLOOKUP("industry|NOx|Respiratory hospital admissions", US_national_yearly!$D:$AM, 10, FALSE), 1)</f>
        <v>1.8900070314247079E-6</v>
      </c>
      <c r="Z12" s="7">
        <f>$B12 * IFERROR(VLOOKUP("industry|NOx|Respiratory hospital admissions", US_national_yearly!$D:$AM, 34, FALSE) / VLOOKUP("industry|NOx|Respiratory hospital admissions", US_national_yearly!$D:$AM, 10, FALSE), 1)</f>
        <v>1.8971856934850288E-6</v>
      </c>
      <c r="AA12" s="7">
        <f>$B12 * IFERROR(VLOOKUP("industry|NOx|Respiratory hospital admissions", US_national_yearly!$D:$AM, 35, FALSE) / VLOOKUP("industry|NOx|Respiratory hospital admissions", US_national_yearly!$D:$AM, 10, FALSE), 1)</f>
        <v>1.9043643555453491E-6</v>
      </c>
      <c r="AB12" s="7">
        <f>$B12 * IFERROR(VLOOKUP("industry|NOx|Respiratory hospital admissions", US_national_yearly!$D:$AM, 36, FALSE) / VLOOKUP("industry|NOx|Respiratory hospital admissions", US_national_yearly!$D:$AM, 10, FALSE), 1)</f>
        <v>1.9115430176056695E-6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5.8631682543534383E-6</v>
      </c>
      <c r="C13" s="7">
        <f>$B13 * IFERROR(VLOOKUP("industry|NOx|Non-fatal heart attacks", US_national_yearly!$D:$AM, 11, FALSE) / VLOOKUP("industry|NOx|Non-fatal heart attacks", US_national_yearly!$D:$AM, 10, FALSE), 1)</f>
        <v>6.0306845899374931E-6</v>
      </c>
      <c r="D13" s="7">
        <f>$B13 * IFERROR(VLOOKUP("industry|NOx|Non-fatal heart attacks", US_national_yearly!$D:$AM, 12, FALSE) / VLOOKUP("industry|NOx|Non-fatal heart attacks", US_national_yearly!$D:$AM, 10, FALSE), 1)</f>
        <v>6.1982009255215471E-6</v>
      </c>
      <c r="E13" s="7">
        <f>$B13 * IFERROR(VLOOKUP("industry|NOx|Non-fatal heart attacks", US_national_yearly!$D:$AM, 13, FALSE) / VLOOKUP("industry|NOx|Non-fatal heart attacks", US_national_yearly!$D:$AM, 10, FALSE), 1)</f>
        <v>6.3657172611056019E-6</v>
      </c>
      <c r="F13" s="7">
        <f>$B13 * IFERROR(VLOOKUP("industry|NOx|Non-fatal heart attacks", US_national_yearly!$D:$AM, 14, FALSE) / VLOOKUP("industry|NOx|Non-fatal heart attacks", US_national_yearly!$D:$AM, 10, FALSE), 1)</f>
        <v>6.5332335966896566E-6</v>
      </c>
      <c r="G13" s="7">
        <f>$B13 * IFERROR(VLOOKUP("industry|NOx|Non-fatal heart attacks", US_national_yearly!$D:$AM, 15, FALSE) / VLOOKUP("industry|NOx|Non-fatal heart attacks", US_national_yearly!$D:$AM, 10, FALSE), 1)</f>
        <v>6.6899101688445644E-6</v>
      </c>
      <c r="H13" s="7">
        <f>$B13 * IFERROR(VLOOKUP("industry|NOx|Non-fatal heart attacks", US_national_yearly!$D:$AM, 16, FALSE) / VLOOKUP("industry|NOx|Non-fatal heart attacks", US_national_yearly!$D:$AM, 10, FALSE), 1)</f>
        <v>6.8465867409994713E-6</v>
      </c>
      <c r="I13" s="7">
        <f>$B13 * IFERROR(VLOOKUP("industry|NOx|Non-fatal heart attacks", US_national_yearly!$D:$AM, 17, FALSE) / VLOOKUP("industry|NOx|Non-fatal heart attacks", US_national_yearly!$D:$AM, 10, FALSE), 1)</f>
        <v>6.9705014398633953E-6</v>
      </c>
      <c r="J13" s="7">
        <f>$B13 * IFERROR(VLOOKUP("industry|NOx|Non-fatal heart attacks", US_national_yearly!$D:$AM, 18, FALSE) / VLOOKUP("industry|NOx|Non-fatal heart attacks", US_national_yearly!$D:$AM, 10, FALSE), 1)</f>
        <v>7.0944161387273202E-6</v>
      </c>
      <c r="K13" s="7">
        <f>$B13 * IFERROR(VLOOKUP("industry|NOx|Non-fatal heart attacks", US_national_yearly!$D:$AM, 19, FALSE) / VLOOKUP("industry|NOx|Non-fatal heart attacks", US_national_yearly!$D:$AM, 10, FALSE), 1)</f>
        <v>7.2183308375912416E-6</v>
      </c>
      <c r="L13" s="7">
        <f>$B13 * IFERROR(VLOOKUP("industry|NOx|Non-fatal heart attacks", US_national_yearly!$D:$AM, 20, FALSE) / VLOOKUP("industry|NOx|Non-fatal heart attacks", US_national_yearly!$D:$AM, 10, FALSE), 1)</f>
        <v>7.342245536455169E-6</v>
      </c>
      <c r="M13" s="7">
        <f>$B13 * IFERROR(VLOOKUP("industry|NOx|Non-fatal heart attacks", US_national_yearly!$D:$AM, 21, FALSE) / VLOOKUP("industry|NOx|Non-fatal heart attacks", US_national_yearly!$D:$AM, 10, FALSE), 1)</f>
        <v>7.4661602353190947E-6</v>
      </c>
      <c r="N13" s="7">
        <f>$B13 * IFERROR(VLOOKUP("industry|NOx|Non-fatal heart attacks", US_national_yearly!$D:$AM, 22, FALSE) / VLOOKUP("industry|NOx|Non-fatal heart attacks", US_national_yearly!$D:$AM, 10, FALSE), 1)</f>
        <v>7.5408128940468861E-6</v>
      </c>
      <c r="O13" s="7">
        <f>$B13 * IFERROR(VLOOKUP("industry|NOx|Non-fatal heart attacks", US_national_yearly!$D:$AM, 23, FALSE) / VLOOKUP("industry|NOx|Non-fatal heart attacks", US_national_yearly!$D:$AM, 10, FALSE), 1)</f>
        <v>7.6154655527746766E-6</v>
      </c>
      <c r="P13" s="7">
        <f>$B13 * IFERROR(VLOOKUP("industry|NOx|Non-fatal heart attacks", US_national_yearly!$D:$AM, 24, FALSE) / VLOOKUP("industry|NOx|Non-fatal heart attacks", US_national_yearly!$D:$AM, 10, FALSE), 1)</f>
        <v>7.6901182115024671E-6</v>
      </c>
      <c r="Q13" s="7">
        <f>$B13 * IFERROR(VLOOKUP("industry|NOx|Non-fatal heart attacks", US_national_yearly!$D:$AM, 25, FALSE) / VLOOKUP("industry|NOx|Non-fatal heart attacks", US_national_yearly!$D:$AM, 10, FALSE), 1)</f>
        <v>7.7647708702302576E-6</v>
      </c>
      <c r="R13" s="7">
        <f>$B13 * IFERROR(VLOOKUP("industry|NOx|Non-fatal heart attacks", US_national_yearly!$D:$AM, 26, FALSE) / VLOOKUP("industry|NOx|Non-fatal heart attacks", US_national_yearly!$D:$AM, 10, FALSE), 1)</f>
        <v>7.8394235289580481E-6</v>
      </c>
      <c r="S13" s="7">
        <f>$B13 * IFERROR(VLOOKUP("industry|NOx|Non-fatal heart attacks", US_national_yearly!$D:$AM, 27, FALSE) / VLOOKUP("industry|NOx|Non-fatal heart attacks", US_national_yearly!$D:$AM, 10, FALSE), 1)</f>
        <v>7.8736756578354148E-6</v>
      </c>
      <c r="T13" s="7">
        <f>$B13 * IFERROR(VLOOKUP("industry|NOx|Non-fatal heart attacks", US_national_yearly!$D:$AM, 28, FALSE) / VLOOKUP("industry|NOx|Non-fatal heart attacks", US_national_yearly!$D:$AM, 10, FALSE), 1)</f>
        <v>7.9079277867127798E-6</v>
      </c>
      <c r="U13" s="7">
        <f>$B13 * IFERROR(VLOOKUP("industry|NOx|Non-fatal heart attacks", US_national_yearly!$D:$AM, 29, FALSE) / VLOOKUP("industry|NOx|Non-fatal heart attacks", US_national_yearly!$D:$AM, 10, FALSE), 1)</f>
        <v>7.9421799155901431E-6</v>
      </c>
      <c r="V13" s="7">
        <f>$B13 * IFERROR(VLOOKUP("industry|NOx|Non-fatal heart attacks", US_national_yearly!$D:$AM, 30, FALSE) / VLOOKUP("industry|NOx|Non-fatal heart attacks", US_national_yearly!$D:$AM, 10, FALSE), 1)</f>
        <v>7.9764320444675098E-6</v>
      </c>
      <c r="W13" s="7">
        <f>$B13 * IFERROR(VLOOKUP("industry|NOx|Non-fatal heart attacks", US_national_yearly!$D:$AM, 31, FALSE) / VLOOKUP("industry|NOx|Non-fatal heart attacks", US_national_yearly!$D:$AM, 10, FALSE), 1)</f>
        <v>8.0106841733448749E-6</v>
      </c>
      <c r="X13" s="7">
        <f>$B13 * IFERROR(VLOOKUP("industry|NOx|Non-fatal heart attacks", US_national_yearly!$D:$AM, 32, FALSE) / VLOOKUP("industry|NOx|Non-fatal heart attacks", US_national_yearly!$D:$AM, 10, FALSE), 1)</f>
        <v>8.0338006078584842E-6</v>
      </c>
      <c r="Y13" s="7">
        <f>$B13 * IFERROR(VLOOKUP("industry|NOx|Non-fatal heart attacks", US_national_yearly!$D:$AM, 33, FALSE) / VLOOKUP("industry|NOx|Non-fatal heart attacks", US_national_yearly!$D:$AM, 10, FALSE), 1)</f>
        <v>8.0569170423720936E-6</v>
      </c>
      <c r="Z13" s="7">
        <f>$B13 * IFERROR(VLOOKUP("industry|NOx|Non-fatal heart attacks", US_national_yearly!$D:$AM, 34, FALSE) / VLOOKUP("industry|NOx|Non-fatal heart attacks", US_national_yearly!$D:$AM, 10, FALSE), 1)</f>
        <v>8.080033476885703E-6</v>
      </c>
      <c r="AA13" s="7">
        <f>$B13 * IFERROR(VLOOKUP("industry|NOx|Non-fatal heart attacks", US_national_yearly!$D:$AM, 35, FALSE) / VLOOKUP("industry|NOx|Non-fatal heart attacks", US_national_yearly!$D:$AM, 10, FALSE), 1)</f>
        <v>8.1031499113993141E-6</v>
      </c>
      <c r="AB13" s="7">
        <f>$B13 * IFERROR(VLOOKUP("industry|NOx|Non-fatal heart attacks", US_national_yearly!$D:$AM, 36, FALSE) / VLOOKUP("industry|NOx|Non-fatal heart attacks", US_national_yearly!$D:$AM, 10, FALSE), 1)</f>
        <v>8.1262663459129234E-6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5.7428457427548506E-3</v>
      </c>
      <c r="C14" s="7">
        <f>$B14 * IFERROR(VLOOKUP("industry|NOx|Minor restricted activity days", US_national_yearly!$D:$AM, 11, FALSE) / VLOOKUP("industry|NOx|Minor restricted activity days", US_national_yearly!$D:$AM, 10, FALSE), 1)</f>
        <v>5.7513542118666555E-3</v>
      </c>
      <c r="D14" s="7">
        <f>$B14 * IFERROR(VLOOKUP("industry|NOx|Minor restricted activity days", US_national_yearly!$D:$AM, 12, FALSE) / VLOOKUP("industry|NOx|Minor restricted activity days", US_national_yearly!$D:$AM, 10, FALSE), 1)</f>
        <v>5.7598626809784595E-3</v>
      </c>
      <c r="E14" s="7">
        <f>$B14 * IFERROR(VLOOKUP("industry|NOx|Minor restricted activity days", US_national_yearly!$D:$AM, 13, FALSE) / VLOOKUP("industry|NOx|Minor restricted activity days", US_national_yearly!$D:$AM, 10, FALSE), 1)</f>
        <v>5.7683711500902644E-3</v>
      </c>
      <c r="F14" s="7">
        <f>$B14 * IFERROR(VLOOKUP("industry|NOx|Minor restricted activity days", US_national_yearly!$D:$AM, 14, FALSE) / VLOOKUP("industry|NOx|Minor restricted activity days", US_national_yearly!$D:$AM, 10, FALSE), 1)</f>
        <v>5.7768796192020676E-3</v>
      </c>
      <c r="G14" s="7">
        <f>$B14 * IFERROR(VLOOKUP("industry|NOx|Minor restricted activity days", US_national_yearly!$D:$AM, 15, FALSE) / VLOOKUP("industry|NOx|Minor restricted activity days", US_national_yearly!$D:$AM, 10, FALSE), 1)</f>
        <v>5.792368491522963E-3</v>
      </c>
      <c r="H14" s="7">
        <f>$B14 * IFERROR(VLOOKUP("industry|NOx|Minor restricted activity days", US_national_yearly!$D:$AM, 16, FALSE) / VLOOKUP("industry|NOx|Minor restricted activity days", US_national_yearly!$D:$AM, 10, FALSE), 1)</f>
        <v>5.8078573638438574E-3</v>
      </c>
      <c r="I14" s="7">
        <f>$B14 * IFERROR(VLOOKUP("industry|NOx|Minor restricted activity days", US_national_yearly!$D:$AM, 17, FALSE) / VLOOKUP("industry|NOx|Minor restricted activity days", US_national_yearly!$D:$AM, 10, FALSE), 1)</f>
        <v>5.8383494138103884E-3</v>
      </c>
      <c r="J14" s="7">
        <f>$B14 * IFERROR(VLOOKUP("industry|NOx|Minor restricted activity days", US_national_yearly!$D:$AM, 18, FALSE) / VLOOKUP("industry|NOx|Minor restricted activity days", US_national_yearly!$D:$AM, 10, FALSE), 1)</f>
        <v>5.8688414637769167E-3</v>
      </c>
      <c r="K14" s="7">
        <f>$B14 * IFERROR(VLOOKUP("industry|NOx|Minor restricted activity days", US_national_yearly!$D:$AM, 19, FALSE) / VLOOKUP("industry|NOx|Minor restricted activity days", US_national_yearly!$D:$AM, 10, FALSE), 1)</f>
        <v>5.899333513743445E-3</v>
      </c>
      <c r="L14" s="7">
        <f>$B14 * IFERROR(VLOOKUP("industry|NOx|Minor restricted activity days", US_national_yearly!$D:$AM, 20, FALSE) / VLOOKUP("industry|NOx|Minor restricted activity days", US_national_yearly!$D:$AM, 10, FALSE), 1)</f>
        <v>5.9298255637099751E-3</v>
      </c>
      <c r="M14" s="7">
        <f>$B14 * IFERROR(VLOOKUP("industry|NOx|Minor restricted activity days", US_national_yearly!$D:$AM, 21, FALSE) / VLOOKUP("industry|NOx|Minor restricted activity days", US_national_yearly!$D:$AM, 10, FALSE), 1)</f>
        <v>5.9603176136765043E-3</v>
      </c>
      <c r="N14" s="7">
        <f>$B14 * IFERROR(VLOOKUP("industry|NOx|Minor restricted activity days", US_national_yearly!$D:$AM, 22, FALSE) / VLOOKUP("industry|NOx|Minor restricted activity days", US_national_yearly!$D:$AM, 10, FALSE), 1)</f>
        <v>6.0042282040848396E-3</v>
      </c>
      <c r="O14" s="7">
        <f>$B14 * IFERROR(VLOOKUP("industry|NOx|Minor restricted activity days", US_national_yearly!$D:$AM, 23, FALSE) / VLOOKUP("industry|NOx|Minor restricted activity days", US_national_yearly!$D:$AM, 10, FALSE), 1)</f>
        <v>6.0481387944931759E-3</v>
      </c>
      <c r="P14" s="7">
        <f>$B14 * IFERROR(VLOOKUP("industry|NOx|Minor restricted activity days", US_national_yearly!$D:$AM, 24, FALSE) / VLOOKUP("industry|NOx|Minor restricted activity days", US_national_yearly!$D:$AM, 10, FALSE), 1)</f>
        <v>6.092049384901513E-3</v>
      </c>
      <c r="Q14" s="7">
        <f>$B14 * IFERROR(VLOOKUP("industry|NOx|Minor restricted activity days", US_national_yearly!$D:$AM, 25, FALSE) / VLOOKUP("industry|NOx|Minor restricted activity days", US_national_yearly!$D:$AM, 10, FALSE), 1)</f>
        <v>6.1359599753098484E-3</v>
      </c>
      <c r="R14" s="7">
        <f>$B14 * IFERROR(VLOOKUP("industry|NOx|Minor restricted activity days", US_national_yearly!$D:$AM, 26, FALSE) / VLOOKUP("industry|NOx|Minor restricted activity days", US_national_yearly!$D:$AM, 10, FALSE), 1)</f>
        <v>6.1798705657181855E-3</v>
      </c>
      <c r="S14" s="7">
        <f>$B14 * IFERROR(VLOOKUP("industry|NOx|Minor restricted activity days", US_national_yearly!$D:$AM, 27, FALSE) / VLOOKUP("industry|NOx|Minor restricted activity days", US_national_yearly!$D:$AM, 10, FALSE), 1)</f>
        <v>6.2238281682898619E-3</v>
      </c>
      <c r="T14" s="7">
        <f>$B14 * IFERROR(VLOOKUP("industry|NOx|Minor restricted activity days", US_national_yearly!$D:$AM, 28, FALSE) / VLOOKUP("industry|NOx|Minor restricted activity days", US_national_yearly!$D:$AM, 10, FALSE), 1)</f>
        <v>6.2677857708615409E-3</v>
      </c>
      <c r="U14" s="7">
        <f>$B14 * IFERROR(VLOOKUP("industry|NOx|Minor restricted activity days", US_national_yearly!$D:$AM, 29, FALSE) / VLOOKUP("industry|NOx|Minor restricted activity days", US_national_yearly!$D:$AM, 10, FALSE), 1)</f>
        <v>6.3117433734332191E-3</v>
      </c>
      <c r="V14" s="7">
        <f>$B14 * IFERROR(VLOOKUP("industry|NOx|Minor restricted activity days", US_national_yearly!$D:$AM, 30, FALSE) / VLOOKUP("industry|NOx|Minor restricted activity days", US_national_yearly!$D:$AM, 10, FALSE), 1)</f>
        <v>6.3557009760048981E-3</v>
      </c>
      <c r="W14" s="7">
        <f>$B14 * IFERROR(VLOOKUP("industry|NOx|Minor restricted activity days", US_national_yearly!$D:$AM, 31, FALSE) / VLOOKUP("industry|NOx|Minor restricted activity days", US_national_yearly!$D:$AM, 10, FALSE), 1)</f>
        <v>6.3996585785765763E-3</v>
      </c>
      <c r="X14" s="7">
        <f>$B14 * IFERROR(VLOOKUP("industry|NOx|Minor restricted activity days", US_national_yearly!$D:$AM, 32, FALSE) / VLOOKUP("industry|NOx|Minor restricted activity days", US_national_yearly!$D:$AM, 10, FALSE), 1)</f>
        <v>6.4367713408884451E-3</v>
      </c>
      <c r="Y14" s="7">
        <f>$B14 * IFERROR(VLOOKUP("industry|NOx|Minor restricted activity days", US_national_yearly!$D:$AM, 33, FALSE) / VLOOKUP("industry|NOx|Minor restricted activity days", US_national_yearly!$D:$AM, 10, FALSE), 1)</f>
        <v>6.4738841032003129E-3</v>
      </c>
      <c r="Z14" s="7">
        <f>$B14 * IFERROR(VLOOKUP("industry|NOx|Minor restricted activity days", US_national_yearly!$D:$AM, 34, FALSE) / VLOOKUP("industry|NOx|Minor restricted activity days", US_national_yearly!$D:$AM, 10, FALSE), 1)</f>
        <v>6.5109968655121808E-3</v>
      </c>
      <c r="AA14" s="7">
        <f>$B14 * IFERROR(VLOOKUP("industry|NOx|Minor restricted activity days", US_national_yearly!$D:$AM, 35, FALSE) / VLOOKUP("industry|NOx|Minor restricted activity days", US_national_yearly!$D:$AM, 10, FALSE), 1)</f>
        <v>6.5481096278240496E-3</v>
      </c>
      <c r="AB14" s="7">
        <f>$B14 * IFERROR(VLOOKUP("industry|NOx|Minor restricted activity days", US_national_yearly!$D:$AM, 36, FALSE) / VLOOKUP("industry|NOx|Minor restricted activity days", US_national_yearly!$D:$AM, 10, FALSE), 1)</f>
        <v>6.5852223901359183E-3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9.7495921743919335E-4</v>
      </c>
      <c r="C15" s="7">
        <f>$B15 * IFERROR(VLOOKUP("industry|NOx|Work loss days", US_national_yearly!$D:$AM, 11, FALSE) / VLOOKUP("industry|NOx|Work loss days", US_national_yearly!$D:$AM, 10, FALSE), 1)</f>
        <v>9.7707163903495379E-4</v>
      </c>
      <c r="D15" s="7">
        <f>$B15 * IFERROR(VLOOKUP("industry|NOx|Work loss days", US_national_yearly!$D:$AM, 12, FALSE) / VLOOKUP("industry|NOx|Work loss days", US_national_yearly!$D:$AM, 10, FALSE), 1)</f>
        <v>9.7918406063071369E-4</v>
      </c>
      <c r="E15" s="7">
        <f>$B15 * IFERROR(VLOOKUP("industry|NOx|Work loss days", US_national_yearly!$D:$AM, 13, FALSE) / VLOOKUP("industry|NOx|Work loss days", US_national_yearly!$D:$AM, 10, FALSE), 1)</f>
        <v>9.8129648222647402E-4</v>
      </c>
      <c r="F15" s="7">
        <f>$B15 * IFERROR(VLOOKUP("industry|NOx|Work loss days", US_national_yearly!$D:$AM, 14, FALSE) / VLOOKUP("industry|NOx|Work loss days", US_national_yearly!$D:$AM, 10, FALSE), 1)</f>
        <v>9.8340890382223435E-4</v>
      </c>
      <c r="G15" s="7">
        <f>$B15 * IFERROR(VLOOKUP("industry|NOx|Work loss days", US_national_yearly!$D:$AM, 15, FALSE) / VLOOKUP("industry|NOx|Work loss days", US_national_yearly!$D:$AM, 10, FALSE), 1)</f>
        <v>9.8649884680608482E-4</v>
      </c>
      <c r="H15" s="7">
        <f>$B15 * IFERROR(VLOOKUP("industry|NOx|Work loss days", US_national_yearly!$D:$AM, 16, FALSE) / VLOOKUP("industry|NOx|Work loss days", US_national_yearly!$D:$AM, 10, FALSE), 1)</f>
        <v>9.895887897899355E-4</v>
      </c>
      <c r="I15" s="7">
        <f>$B15 * IFERROR(VLOOKUP("industry|NOx|Work loss days", US_national_yearly!$D:$AM, 17, FALSE) / VLOOKUP("industry|NOx|Work loss days", US_national_yearly!$D:$AM, 10, FALSE), 1)</f>
        <v>9.9460916366942483E-4</v>
      </c>
      <c r="J15" s="7">
        <f>$B15 * IFERROR(VLOOKUP("industry|NOx|Work loss days", US_national_yearly!$D:$AM, 18, FALSE) / VLOOKUP("industry|NOx|Work loss days", US_national_yearly!$D:$AM, 10, FALSE), 1)</f>
        <v>9.9962953754891394E-4</v>
      </c>
      <c r="K15" s="7">
        <f>$B15 * IFERROR(VLOOKUP("industry|NOx|Work loss days", US_national_yearly!$D:$AM, 19, FALSE) / VLOOKUP("industry|NOx|Work loss days", US_national_yearly!$D:$AM, 10, FALSE), 1)</f>
        <v>1.0046499114284033E-3</v>
      </c>
      <c r="L15" s="7">
        <f>$B15 * IFERROR(VLOOKUP("industry|NOx|Work loss days", US_national_yearly!$D:$AM, 20, FALSE) / VLOOKUP("industry|NOx|Work loss days", US_national_yearly!$D:$AM, 10, FALSE), 1)</f>
        <v>1.0096702853078926E-3</v>
      </c>
      <c r="M15" s="7">
        <f>$B15 * IFERROR(VLOOKUP("industry|NOx|Work loss days", US_national_yearly!$D:$AM, 21, FALSE) / VLOOKUP("industry|NOx|Work loss days", US_national_yearly!$D:$AM, 10, FALSE), 1)</f>
        <v>1.0146906591873819E-3</v>
      </c>
      <c r="N15" s="7">
        <f>$B15 * IFERROR(VLOOKUP("industry|NOx|Work loss days", US_national_yearly!$D:$AM, 22, FALSE) / VLOOKUP("industry|NOx|Work loss days", US_national_yearly!$D:$AM, 10, FALSE), 1)</f>
        <v>1.0212561697176461E-3</v>
      </c>
      <c r="O15" s="7">
        <f>$B15 * IFERROR(VLOOKUP("industry|NOx|Work loss days", US_national_yearly!$D:$AM, 23, FALSE) / VLOOKUP("industry|NOx|Work loss days", US_national_yearly!$D:$AM, 10, FALSE), 1)</f>
        <v>1.0278216802479107E-3</v>
      </c>
      <c r="P15" s="7">
        <f>$B15 * IFERROR(VLOOKUP("industry|NOx|Work loss days", US_national_yearly!$D:$AM, 24, FALSE) / VLOOKUP("industry|NOx|Work loss days", US_national_yearly!$D:$AM, 10, FALSE), 1)</f>
        <v>1.0343871907781748E-3</v>
      </c>
      <c r="Q15" s="7">
        <f>$B15 * IFERROR(VLOOKUP("industry|NOx|Work loss days", US_national_yearly!$D:$AM, 25, FALSE) / VLOOKUP("industry|NOx|Work loss days", US_national_yearly!$D:$AM, 10, FALSE), 1)</f>
        <v>1.0409527013084392E-3</v>
      </c>
      <c r="R15" s="7">
        <f>$B15 * IFERROR(VLOOKUP("industry|NOx|Work loss days", US_national_yearly!$D:$AM, 26, FALSE) / VLOOKUP("industry|NOx|Work loss days", US_national_yearly!$D:$AM, 10, FALSE), 1)</f>
        <v>1.0475182118387036E-3</v>
      </c>
      <c r="S15" s="7">
        <f>$B15 * IFERROR(VLOOKUP("industry|NOx|Work loss days", US_national_yearly!$D:$AM, 27, FALSE) / VLOOKUP("industry|NOx|Work loss days", US_national_yearly!$D:$AM, 10, FALSE), 1)</f>
        <v>1.0548580549260404E-3</v>
      </c>
      <c r="T15" s="7">
        <f>$B15 * IFERROR(VLOOKUP("industry|NOx|Work loss days", US_national_yearly!$D:$AM, 28, FALSE) / VLOOKUP("industry|NOx|Work loss days", US_national_yearly!$D:$AM, 10, FALSE), 1)</f>
        <v>1.0621978980133774E-3</v>
      </c>
      <c r="U15" s="7">
        <f>$B15 * IFERROR(VLOOKUP("industry|NOx|Work loss days", US_national_yearly!$D:$AM, 29, FALSE) / VLOOKUP("industry|NOx|Work loss days", US_national_yearly!$D:$AM, 10, FALSE), 1)</f>
        <v>1.0695377411007144E-3</v>
      </c>
      <c r="V15" s="7">
        <f>$B15 * IFERROR(VLOOKUP("industry|NOx|Work loss days", US_national_yearly!$D:$AM, 30, FALSE) / VLOOKUP("industry|NOx|Work loss days", US_national_yearly!$D:$AM, 10, FALSE), 1)</f>
        <v>1.0768775841880512E-3</v>
      </c>
      <c r="W15" s="7">
        <f>$B15 * IFERROR(VLOOKUP("industry|NOx|Work loss days", US_national_yearly!$D:$AM, 31, FALSE) / VLOOKUP("industry|NOx|Work loss days", US_national_yearly!$D:$AM, 10, FALSE), 1)</f>
        <v>1.084217427275388E-3</v>
      </c>
      <c r="X15" s="7">
        <f>$B15 * IFERROR(VLOOKUP("industry|NOx|Work loss days", US_national_yearly!$D:$AM, 32, FALSE) / VLOOKUP("industry|NOx|Work loss days", US_national_yearly!$D:$AM, 10, FALSE), 1)</f>
        <v>1.0905849971306544E-3</v>
      </c>
      <c r="Y15" s="7">
        <f>$B15 * IFERROR(VLOOKUP("industry|NOx|Work loss days", US_national_yearly!$D:$AM, 33, FALSE) / VLOOKUP("industry|NOx|Work loss days", US_national_yearly!$D:$AM, 10, FALSE), 1)</f>
        <v>1.0969525669859207E-3</v>
      </c>
      <c r="Z15" s="7">
        <f>$B15 * IFERROR(VLOOKUP("industry|NOx|Work loss days", US_national_yearly!$D:$AM, 34, FALSE) / VLOOKUP("industry|NOx|Work loss days", US_national_yearly!$D:$AM, 10, FALSE), 1)</f>
        <v>1.1033201368411871E-3</v>
      </c>
      <c r="AA15" s="7">
        <f>$B15 * IFERROR(VLOOKUP("industry|NOx|Work loss days", US_national_yearly!$D:$AM, 35, FALSE) / VLOOKUP("industry|NOx|Work loss days", US_national_yearly!$D:$AM, 10, FALSE), 1)</f>
        <v>1.1096877066964534E-3</v>
      </c>
      <c r="AB15" s="7">
        <f>$B15 * IFERROR(VLOOKUP("industry|NOx|Work loss days", US_national_yearly!$D:$AM, 36, FALSE) / VLOOKUP("industry|NOx|Work loss days", US_national_yearly!$D:$AM, 10, FALSE), 1)</f>
        <v>1.1160552765517198E-3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1.6894659391866682E-6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1.7390731719841369E-6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1.7886804047816056E-6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1.8382876375790743E-6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1.8878948703765434E-6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1.9350427824038976E-6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1.9821906944312522E-6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2.0219397957565564E-6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2.0616888970818602E-6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2.101437998407164E-6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2.1411870997324678E-6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2.1809362010577715E-6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2.2058207741910744E-6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2.230705347324376E-6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2.2555899204576785E-6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2.2804744935909805E-6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2.3053590667242826E-6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2.3168388097299747E-6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2.3283185527356674E-6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2.3397982957413595E-6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2.3512780387470521E-6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2.3627577817527447E-6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2.3692437563220004E-6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2.3757297308912566E-6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2.3822157054605127E-6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2.3887016800297684E-6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2.3951876545990249E-6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2.8981915603120633E-3</v>
      </c>
      <c r="C2" s="7">
        <f>$B2 * IFERROR(VLOOKUP("industry|SO2|Premature mortality", US_national_yearly!$D:$AM, 11, FALSE) / VLOOKUP("industry|SO2|Premature mortality", US_national_yearly!$D:$AM, 10, FALSE), 1)</f>
        <v>2.9349316527165583E-3</v>
      </c>
      <c r="D2" s="7">
        <f>$B2 * IFERROR(VLOOKUP("industry|SO2|Premature mortality", US_national_yearly!$D:$AM, 12, FALSE) / VLOOKUP("industry|SO2|Premature mortality", US_national_yearly!$D:$AM, 10, FALSE), 1)</f>
        <v>2.9716717451210525E-3</v>
      </c>
      <c r="E2" s="7">
        <f>$B2 * IFERROR(VLOOKUP("industry|SO2|Premature mortality", US_national_yearly!$D:$AM, 13, FALSE) / VLOOKUP("industry|SO2|Premature mortality", US_national_yearly!$D:$AM, 10, FALSE), 1)</f>
        <v>3.0084118375255466E-3</v>
      </c>
      <c r="F2" s="7">
        <f>$B2 * IFERROR(VLOOKUP("industry|SO2|Premature mortality", US_national_yearly!$D:$AM, 14, FALSE) / VLOOKUP("industry|SO2|Premature mortality", US_national_yearly!$D:$AM, 10, FALSE), 1)</f>
        <v>3.0451519299300417E-3</v>
      </c>
      <c r="G2" s="7">
        <f>$B2 * IFERROR(VLOOKUP("industry|SO2|Premature mortality", US_national_yearly!$D:$AM, 15, FALSE) / VLOOKUP("industry|SO2|Premature mortality", US_national_yearly!$D:$AM, 10, FALSE), 1)</f>
        <v>3.1159671212720439E-3</v>
      </c>
      <c r="H2" s="7">
        <f>$B2 * IFERROR(VLOOKUP("industry|SO2|Premature mortality", US_national_yearly!$D:$AM, 16, FALSE) / VLOOKUP("industry|SO2|Premature mortality", US_national_yearly!$D:$AM, 10, FALSE), 1)</f>
        <v>3.1867823126140466E-3</v>
      </c>
      <c r="I2" s="7">
        <f>$B2 * IFERROR(VLOOKUP("industry|SO2|Premature mortality", US_national_yearly!$D:$AM, 17, FALSE) / VLOOKUP("industry|SO2|Premature mortality", US_national_yearly!$D:$AM, 10, FALSE), 1)</f>
        <v>3.2336740596341307E-3</v>
      </c>
      <c r="J2" s="7">
        <f>$B2 * IFERROR(VLOOKUP("industry|SO2|Premature mortality", US_national_yearly!$D:$AM, 18, FALSE) / VLOOKUP("industry|SO2|Premature mortality", US_national_yearly!$D:$AM, 10, FALSE), 1)</f>
        <v>3.2805658066542144E-3</v>
      </c>
      <c r="K2" s="7">
        <f>$B2 * IFERROR(VLOOKUP("industry|SO2|Premature mortality", US_national_yearly!$D:$AM, 19, FALSE) / VLOOKUP("industry|SO2|Premature mortality", US_national_yearly!$D:$AM, 10, FALSE), 1)</f>
        <v>3.3274575536742976E-3</v>
      </c>
      <c r="L2" s="7">
        <f>$B2 * IFERROR(VLOOKUP("industry|SO2|Premature mortality", US_national_yearly!$D:$AM, 20, FALSE) / VLOOKUP("industry|SO2|Premature mortality", US_national_yearly!$D:$AM, 10, FALSE), 1)</f>
        <v>3.3743493006943817E-3</v>
      </c>
      <c r="M2" s="7">
        <f>$B2 * IFERROR(VLOOKUP("industry|SO2|Premature mortality", US_national_yearly!$D:$AM, 21, FALSE) / VLOOKUP("industry|SO2|Premature mortality", US_national_yearly!$D:$AM, 10, FALSE), 1)</f>
        <v>3.4212410477144654E-3</v>
      </c>
      <c r="N2" s="7">
        <f>$B2 * IFERROR(VLOOKUP("industry|SO2|Premature mortality", US_national_yearly!$D:$AM, 22, FALSE) / VLOOKUP("industry|SO2|Premature mortality", US_national_yearly!$D:$AM, 10, FALSE), 1)</f>
        <v>3.4579215429297798E-3</v>
      </c>
      <c r="O2" s="7">
        <f>$B2 * IFERROR(VLOOKUP("industry|SO2|Premature mortality", US_national_yearly!$D:$AM, 23, FALSE) / VLOOKUP("industry|SO2|Premature mortality", US_national_yearly!$D:$AM, 10, FALSE), 1)</f>
        <v>3.4946020381450946E-3</v>
      </c>
      <c r="P2" s="7">
        <f>$B2 * IFERROR(VLOOKUP("industry|SO2|Premature mortality", US_national_yearly!$D:$AM, 24, FALSE) / VLOOKUP("industry|SO2|Premature mortality", US_national_yearly!$D:$AM, 10, FALSE), 1)</f>
        <v>3.531282533360409E-3</v>
      </c>
      <c r="Q2" s="7">
        <f>$B2 * IFERROR(VLOOKUP("industry|SO2|Premature mortality", US_national_yearly!$D:$AM, 25, FALSE) / VLOOKUP("industry|SO2|Premature mortality", US_national_yearly!$D:$AM, 10, FALSE), 1)</f>
        <v>3.5679630285757233E-3</v>
      </c>
      <c r="R2" s="7">
        <f>$B2 * IFERROR(VLOOKUP("industry|SO2|Premature mortality", US_national_yearly!$D:$AM, 26, FALSE) / VLOOKUP("industry|SO2|Premature mortality", US_national_yearly!$D:$AM, 10, FALSE), 1)</f>
        <v>3.6046435237910381E-3</v>
      </c>
      <c r="S2" s="7">
        <f>$B2 * IFERROR(VLOOKUP("industry|SO2|Premature mortality", US_national_yearly!$D:$AM, 27, FALSE) / VLOOKUP("industry|SO2|Premature mortality", US_national_yearly!$D:$AM, 10, FALSE), 1)</f>
        <v>3.624448970453747E-3</v>
      </c>
      <c r="T2" s="7">
        <f>$B2 * IFERROR(VLOOKUP("industry|SO2|Premature mortality", US_national_yearly!$D:$AM, 28, FALSE) / VLOOKUP("industry|SO2|Premature mortality", US_national_yearly!$D:$AM, 10, FALSE), 1)</f>
        <v>3.6442544171164572E-3</v>
      </c>
      <c r="U2" s="7">
        <f>$B2 * IFERROR(VLOOKUP("industry|SO2|Premature mortality", US_national_yearly!$D:$AM, 29, FALSE) / VLOOKUP("industry|SO2|Premature mortality", US_national_yearly!$D:$AM, 10, FALSE), 1)</f>
        <v>3.6640598637791679E-3</v>
      </c>
      <c r="V2" s="7">
        <f>$B2 * IFERROR(VLOOKUP("industry|SO2|Premature mortality", US_national_yearly!$D:$AM, 30, FALSE) / VLOOKUP("industry|SO2|Premature mortality", US_national_yearly!$D:$AM, 10, FALSE), 1)</f>
        <v>3.6838653104418776E-3</v>
      </c>
      <c r="W2" s="7">
        <f>$B2 * IFERROR(VLOOKUP("industry|SO2|Premature mortality", US_national_yearly!$D:$AM, 31, FALSE) / VLOOKUP("industry|SO2|Premature mortality", US_national_yearly!$D:$AM, 10, FALSE), 1)</f>
        <v>3.7036707571045878E-3</v>
      </c>
      <c r="X2" s="7">
        <f>$B2 * IFERROR(VLOOKUP("industry|SO2|Premature mortality", US_national_yearly!$D:$AM, 32, FALSE) / VLOOKUP("industry|SO2|Premature mortality", US_national_yearly!$D:$AM, 10, FALSE), 1)</f>
        <v>3.7079334935679613E-3</v>
      </c>
      <c r="Y2" s="7">
        <f>$B2 * IFERROR(VLOOKUP("industry|SO2|Premature mortality", US_national_yearly!$D:$AM, 33, FALSE) / VLOOKUP("industry|SO2|Premature mortality", US_national_yearly!$D:$AM, 10, FALSE), 1)</f>
        <v>3.7121962300313348E-3</v>
      </c>
      <c r="Z2" s="7">
        <f>$B2 * IFERROR(VLOOKUP("industry|SO2|Premature mortality", US_national_yearly!$D:$AM, 34, FALSE) / VLOOKUP("industry|SO2|Premature mortality", US_national_yearly!$D:$AM, 10, FALSE), 1)</f>
        <v>3.7164589664947091E-3</v>
      </c>
      <c r="AA2" s="7">
        <f>$B2 * IFERROR(VLOOKUP("industry|SO2|Premature mortality", US_national_yearly!$D:$AM, 35, FALSE) / VLOOKUP("industry|SO2|Premature mortality", US_national_yearly!$D:$AM, 10, FALSE), 1)</f>
        <v>3.720721702958083E-3</v>
      </c>
      <c r="AB2" s="7">
        <f>$B2 * IFERROR(VLOOKUP("industry|SO2|Premature mortality", US_national_yearly!$D:$AM, 36, FALSE) / VLOOKUP("industry|SO2|Premature mortality", US_national_yearly!$D:$AM, 10, FALSE), 1)</f>
        <v>3.7249844394214564E-3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7.9641639351077935E-6</v>
      </c>
      <c r="C3" s="7">
        <f>$B3 * IFERROR(VLOOKUP("industry|SO2|Infant mortality", US_national_yearly!$D:$AM, 11, FALSE) / VLOOKUP("industry|SO2|Infant mortality", US_national_yearly!$D:$AM, 10, FALSE), 1)</f>
        <v>7.8956476186035448E-6</v>
      </c>
      <c r="D3" s="7">
        <f>$B3 * IFERROR(VLOOKUP("industry|SO2|Infant mortality", US_national_yearly!$D:$AM, 12, FALSE) / VLOOKUP("industry|SO2|Infant mortality", US_national_yearly!$D:$AM, 10, FALSE), 1)</f>
        <v>7.8271313020992979E-6</v>
      </c>
      <c r="E3" s="7">
        <f>$B3 * IFERROR(VLOOKUP("industry|SO2|Infant mortality", US_national_yearly!$D:$AM, 13, FALSE) / VLOOKUP("industry|SO2|Infant mortality", US_national_yearly!$D:$AM, 10, FALSE), 1)</f>
        <v>7.7586149855950493E-6</v>
      </c>
      <c r="F3" s="7">
        <f>$B3 * IFERROR(VLOOKUP("industry|SO2|Infant mortality", US_national_yearly!$D:$AM, 14, FALSE) / VLOOKUP("industry|SO2|Infant mortality", US_national_yearly!$D:$AM, 10, FALSE), 1)</f>
        <v>7.6900986690908007E-6</v>
      </c>
      <c r="G3" s="7">
        <f>$B3 * IFERROR(VLOOKUP("industry|SO2|Infant mortality", US_national_yearly!$D:$AM, 15, FALSE) / VLOOKUP("industry|SO2|Infant mortality", US_national_yearly!$D:$AM, 10, FALSE), 1)</f>
        <v>5.1192859666458944E-6</v>
      </c>
      <c r="H3" s="7">
        <f>$B3 * IFERROR(VLOOKUP("industry|SO2|Infant mortality", US_national_yearly!$D:$AM, 16, FALSE) / VLOOKUP("industry|SO2|Infant mortality", US_national_yearly!$D:$AM, 10, FALSE), 1)</f>
        <v>2.5484732642009876E-6</v>
      </c>
      <c r="I3" s="7">
        <f>$B3 * IFERROR(VLOOKUP("industry|SO2|Infant mortality", US_national_yearly!$D:$AM, 17, FALSE) / VLOOKUP("industry|SO2|Infant mortality", US_national_yearly!$D:$AM, 10, FALSE), 1)</f>
        <v>2.5322906763344623E-6</v>
      </c>
      <c r="J3" s="7">
        <f>$B3 * IFERROR(VLOOKUP("industry|SO2|Infant mortality", US_national_yearly!$D:$AM, 18, FALSE) / VLOOKUP("industry|SO2|Infant mortality", US_national_yearly!$D:$AM, 10, FALSE), 1)</f>
        <v>2.516108088467937E-6</v>
      </c>
      <c r="K3" s="7">
        <f>$B3 * IFERROR(VLOOKUP("industry|SO2|Infant mortality", US_national_yearly!$D:$AM, 19, FALSE) / VLOOKUP("industry|SO2|Infant mortality", US_national_yearly!$D:$AM, 10, FALSE), 1)</f>
        <v>2.4999255006014118E-6</v>
      </c>
      <c r="L3" s="7">
        <f>$B3 * IFERROR(VLOOKUP("industry|SO2|Infant mortality", US_national_yearly!$D:$AM, 20, FALSE) / VLOOKUP("industry|SO2|Infant mortality", US_national_yearly!$D:$AM, 10, FALSE), 1)</f>
        <v>2.4837429127348865E-6</v>
      </c>
      <c r="M3" s="7">
        <f>$B3 * IFERROR(VLOOKUP("industry|SO2|Infant mortality", US_national_yearly!$D:$AM, 21, FALSE) / VLOOKUP("industry|SO2|Infant mortality", US_national_yearly!$D:$AM, 10, FALSE), 1)</f>
        <v>2.4675603248683612E-6</v>
      </c>
      <c r="N3" s="7">
        <f>$B3 * IFERROR(VLOOKUP("industry|SO2|Infant mortality", US_national_yearly!$D:$AM, 22, FALSE) / VLOOKUP("industry|SO2|Infant mortality", US_national_yearly!$D:$AM, 10, FALSE), 1)</f>
        <v>2.4573037246536063E-6</v>
      </c>
      <c r="O3" s="7">
        <f>$B3 * IFERROR(VLOOKUP("industry|SO2|Infant mortality", US_national_yearly!$D:$AM, 23, FALSE) / VLOOKUP("industry|SO2|Infant mortality", US_national_yearly!$D:$AM, 10, FALSE), 1)</f>
        <v>2.4470471244388515E-6</v>
      </c>
      <c r="P3" s="7">
        <f>$B3 * IFERROR(VLOOKUP("industry|SO2|Infant mortality", US_national_yearly!$D:$AM, 24, FALSE) / VLOOKUP("industry|SO2|Infant mortality", US_national_yearly!$D:$AM, 10, FALSE), 1)</f>
        <v>2.4367905242240966E-6</v>
      </c>
      <c r="Q3" s="7">
        <f>$B3 * IFERROR(VLOOKUP("industry|SO2|Infant mortality", US_national_yearly!$D:$AM, 25, FALSE) / VLOOKUP("industry|SO2|Infant mortality", US_national_yearly!$D:$AM, 10, FALSE), 1)</f>
        <v>2.4265339240093417E-6</v>
      </c>
      <c r="R3" s="7">
        <f>$B3 * IFERROR(VLOOKUP("industry|SO2|Infant mortality", US_national_yearly!$D:$AM, 26, FALSE) / VLOOKUP("industry|SO2|Infant mortality", US_national_yearly!$D:$AM, 10, FALSE), 1)</f>
        <v>2.4162773237945868E-6</v>
      </c>
      <c r="S3" s="7">
        <f>$B3 * IFERROR(VLOOKUP("industry|SO2|Infant mortality", US_national_yearly!$D:$AM, 27, FALSE) / VLOOKUP("industry|SO2|Infant mortality", US_national_yearly!$D:$AM, 10, FALSE), 1)</f>
        <v>2.4035131018313801E-6</v>
      </c>
      <c r="T3" s="7">
        <f>$B3 * IFERROR(VLOOKUP("industry|SO2|Infant mortality", US_national_yearly!$D:$AM, 28, FALSE) / VLOOKUP("industry|SO2|Infant mortality", US_national_yearly!$D:$AM, 10, FALSE), 1)</f>
        <v>2.3907488798681734E-6</v>
      </c>
      <c r="U3" s="7">
        <f>$B3 * IFERROR(VLOOKUP("industry|SO2|Infant mortality", US_national_yearly!$D:$AM, 29, FALSE) / VLOOKUP("industry|SO2|Infant mortality", US_national_yearly!$D:$AM, 10, FALSE), 1)</f>
        <v>2.3779846579049667E-6</v>
      </c>
      <c r="V3" s="7">
        <f>$B3 * IFERROR(VLOOKUP("industry|SO2|Infant mortality", US_national_yearly!$D:$AM, 30, FALSE) / VLOOKUP("industry|SO2|Infant mortality", US_national_yearly!$D:$AM, 10, FALSE), 1)</f>
        <v>2.36522043594176E-6</v>
      </c>
      <c r="W3" s="7">
        <f>$B3 * IFERROR(VLOOKUP("industry|SO2|Infant mortality", US_national_yearly!$D:$AM, 31, FALSE) / VLOOKUP("industry|SO2|Infant mortality", US_national_yearly!$D:$AM, 10, FALSE), 1)</f>
        <v>2.3524562139785532E-6</v>
      </c>
      <c r="X3" s="7">
        <f>$B3 * IFERROR(VLOOKUP("industry|SO2|Infant mortality", US_national_yearly!$D:$AM, 32, FALSE) / VLOOKUP("industry|SO2|Infant mortality", US_national_yearly!$D:$AM, 10, FALSE), 1)</f>
        <v>2.3385853138176061E-6</v>
      </c>
      <c r="Y3" s="7">
        <f>$B3 * IFERROR(VLOOKUP("industry|SO2|Infant mortality", US_national_yearly!$D:$AM, 33, FALSE) / VLOOKUP("industry|SO2|Infant mortality", US_national_yearly!$D:$AM, 10, FALSE), 1)</f>
        <v>2.3247144136566585E-6</v>
      </c>
      <c r="Z3" s="7">
        <f>$B3 * IFERROR(VLOOKUP("industry|SO2|Infant mortality", US_national_yearly!$D:$AM, 34, FALSE) / VLOOKUP("industry|SO2|Infant mortality", US_national_yearly!$D:$AM, 10, FALSE), 1)</f>
        <v>2.3108435134957114E-6</v>
      </c>
      <c r="AA3" s="7">
        <f>$B3 * IFERROR(VLOOKUP("industry|SO2|Infant mortality", US_national_yearly!$D:$AM, 35, FALSE) / VLOOKUP("industry|SO2|Infant mortality", US_national_yearly!$D:$AM, 10, FALSE), 1)</f>
        <v>2.2969726133347642E-6</v>
      </c>
      <c r="AB3" s="7">
        <f>$B3 * IFERROR(VLOOKUP("industry|SO2|Infant mortality", US_national_yearly!$D:$AM, 36, FALSE) / VLOOKUP("industry|SO2|Infant mortality", US_national_yearly!$D:$AM, 10, FALSE), 1)</f>
        <v>2.2831017131738166E-6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7.8670629216272131E-3</v>
      </c>
      <c r="C6" s="7">
        <f>$B6 * IFERROR(VLOOKUP("industry|SO2|Asthma symptoms cough", US_national_yearly!$D:$AM, 11, FALSE) / VLOOKUP("industry|SO2|Asthma symptoms cough", US_national_yearly!$D:$AM, 10, FALSE), 1)</f>
        <v>7.8670629216272131E-3</v>
      </c>
      <c r="D6" s="7">
        <f>$B6 * IFERROR(VLOOKUP("industry|SO2|Asthma symptoms cough", US_national_yearly!$D:$AM, 12, FALSE) / VLOOKUP("industry|SO2|Asthma symptoms cough", US_national_yearly!$D:$AM, 10, FALSE), 1)</f>
        <v>7.8670629216272131E-3</v>
      </c>
      <c r="E6" s="7">
        <f>$B6 * IFERROR(VLOOKUP("industry|SO2|Asthma symptoms cough", US_national_yearly!$D:$AM, 13, FALSE) / VLOOKUP("industry|SO2|Asthma symptoms cough", US_national_yearly!$D:$AM, 10, FALSE), 1)</f>
        <v>7.8670629216272131E-3</v>
      </c>
      <c r="F6" s="7">
        <f>$B6 * IFERROR(VLOOKUP("industry|SO2|Asthma symptoms cough", US_national_yearly!$D:$AM, 14, FALSE) / VLOOKUP("industry|SO2|Asthma symptoms cough", US_national_yearly!$D:$AM, 10, FALSE), 1)</f>
        <v>7.8670629216272131E-3</v>
      </c>
      <c r="G6" s="7">
        <f>$B6 * IFERROR(VLOOKUP("industry|SO2|Asthma symptoms cough", US_national_yearly!$D:$AM, 15, FALSE) / VLOOKUP("industry|SO2|Asthma symptoms cough", US_national_yearly!$D:$AM, 10, FALSE), 1)</f>
        <v>7.8670629216272131E-3</v>
      </c>
      <c r="H6" s="7">
        <f>$B6 * IFERROR(VLOOKUP("industry|SO2|Asthma symptoms cough", US_national_yearly!$D:$AM, 16, FALSE) / VLOOKUP("industry|SO2|Asthma symptoms cough", US_national_yearly!$D:$AM, 10, FALSE), 1)</f>
        <v>7.8670629216272131E-3</v>
      </c>
      <c r="I6" s="7">
        <f>$B6 * IFERROR(VLOOKUP("industry|SO2|Asthma symptoms cough", US_national_yearly!$D:$AM, 17, FALSE) / VLOOKUP("industry|SO2|Asthma symptoms cough", US_national_yearly!$D:$AM, 10, FALSE), 1)</f>
        <v>7.8670629216272131E-3</v>
      </c>
      <c r="J6" s="7">
        <f>$B6 * IFERROR(VLOOKUP("industry|SO2|Asthma symptoms cough", US_national_yearly!$D:$AM, 18, FALSE) / VLOOKUP("industry|SO2|Asthma symptoms cough", US_national_yearly!$D:$AM, 10, FALSE), 1)</f>
        <v>7.8670629216272131E-3</v>
      </c>
      <c r="K6" s="7">
        <f>$B6 * IFERROR(VLOOKUP("industry|SO2|Asthma symptoms cough", US_national_yearly!$D:$AM, 19, FALSE) / VLOOKUP("industry|SO2|Asthma symptoms cough", US_national_yearly!$D:$AM, 10, FALSE), 1)</f>
        <v>7.8670629216272131E-3</v>
      </c>
      <c r="L6" s="7">
        <f>$B6 * IFERROR(VLOOKUP("industry|SO2|Asthma symptoms cough", US_national_yearly!$D:$AM, 20, FALSE) / VLOOKUP("industry|SO2|Asthma symptoms cough", US_national_yearly!$D:$AM, 10, FALSE), 1)</f>
        <v>7.8670629216272131E-3</v>
      </c>
      <c r="M6" s="7">
        <f>$B6 * IFERROR(VLOOKUP("industry|SO2|Asthma symptoms cough", US_national_yearly!$D:$AM, 21, FALSE) / VLOOKUP("industry|SO2|Asthma symptoms cough", US_national_yearly!$D:$AM, 10, FALSE), 1)</f>
        <v>7.8670629216272131E-3</v>
      </c>
      <c r="N6" s="7">
        <f>$B6 * IFERROR(VLOOKUP("industry|SO2|Asthma symptoms cough", US_national_yearly!$D:$AM, 22, FALSE) / VLOOKUP("industry|SO2|Asthma symptoms cough", US_national_yearly!$D:$AM, 10, FALSE), 1)</f>
        <v>7.8670629216272131E-3</v>
      </c>
      <c r="O6" s="7">
        <f>$B6 * IFERROR(VLOOKUP("industry|SO2|Asthma symptoms cough", US_national_yearly!$D:$AM, 23, FALSE) / VLOOKUP("industry|SO2|Asthma symptoms cough", US_national_yearly!$D:$AM, 10, FALSE), 1)</f>
        <v>7.8670629216272131E-3</v>
      </c>
      <c r="P6" s="7">
        <f>$B6 * IFERROR(VLOOKUP("industry|SO2|Asthma symptoms cough", US_national_yearly!$D:$AM, 24, FALSE) / VLOOKUP("industry|SO2|Asthma symptoms cough", US_national_yearly!$D:$AM, 10, FALSE), 1)</f>
        <v>7.8670629216272131E-3</v>
      </c>
      <c r="Q6" s="7">
        <f>$B6 * IFERROR(VLOOKUP("industry|SO2|Asthma symptoms cough", US_national_yearly!$D:$AM, 25, FALSE) / VLOOKUP("industry|SO2|Asthma symptoms cough", US_national_yearly!$D:$AM, 10, FALSE), 1)</f>
        <v>7.8670629216272131E-3</v>
      </c>
      <c r="R6" s="7">
        <f>$B6 * IFERROR(VLOOKUP("industry|SO2|Asthma symptoms cough", US_national_yearly!$D:$AM, 26, FALSE) / VLOOKUP("industry|SO2|Asthma symptoms cough", US_national_yearly!$D:$AM, 10, FALSE), 1)</f>
        <v>7.8670629216272131E-3</v>
      </c>
      <c r="S6" s="7">
        <f>$B6 * IFERROR(VLOOKUP("industry|SO2|Asthma symptoms cough", US_national_yearly!$D:$AM, 27, FALSE) / VLOOKUP("industry|SO2|Asthma symptoms cough", US_national_yearly!$D:$AM, 10, FALSE), 1)</f>
        <v>7.8670629216272131E-3</v>
      </c>
      <c r="T6" s="7">
        <f>$B6 * IFERROR(VLOOKUP("industry|SO2|Asthma symptoms cough", US_national_yearly!$D:$AM, 28, FALSE) / VLOOKUP("industry|SO2|Asthma symptoms cough", US_national_yearly!$D:$AM, 10, FALSE), 1)</f>
        <v>7.8670629216272131E-3</v>
      </c>
      <c r="U6" s="7">
        <f>$B6 * IFERROR(VLOOKUP("industry|SO2|Asthma symptoms cough", US_national_yearly!$D:$AM, 29, FALSE) / VLOOKUP("industry|SO2|Asthma symptoms cough", US_national_yearly!$D:$AM, 10, FALSE), 1)</f>
        <v>7.8670629216272131E-3</v>
      </c>
      <c r="V6" s="7">
        <f>$B6 * IFERROR(VLOOKUP("industry|SO2|Asthma symptoms cough", US_national_yearly!$D:$AM, 30, FALSE) / VLOOKUP("industry|SO2|Asthma symptoms cough", US_national_yearly!$D:$AM, 10, FALSE), 1)</f>
        <v>7.8670629216272131E-3</v>
      </c>
      <c r="W6" s="7">
        <f>$B6 * IFERROR(VLOOKUP("industry|SO2|Asthma symptoms cough", US_national_yearly!$D:$AM, 31, FALSE) / VLOOKUP("industry|SO2|Asthma symptoms cough", US_national_yearly!$D:$AM, 10, FALSE), 1)</f>
        <v>7.8670629216272131E-3</v>
      </c>
      <c r="X6" s="7">
        <f>$B6 * IFERROR(VLOOKUP("industry|SO2|Asthma symptoms cough", US_national_yearly!$D:$AM, 32, FALSE) / VLOOKUP("industry|SO2|Asthma symptoms cough", US_national_yearly!$D:$AM, 10, FALSE), 1)</f>
        <v>7.8670629216272131E-3</v>
      </c>
      <c r="Y6" s="7">
        <f>$B6 * IFERROR(VLOOKUP("industry|SO2|Asthma symptoms cough", US_national_yearly!$D:$AM, 33, FALSE) / VLOOKUP("industry|SO2|Asthma symptoms cough", US_national_yearly!$D:$AM, 10, FALSE), 1)</f>
        <v>7.8670629216272131E-3</v>
      </c>
      <c r="Z6" s="7">
        <f>$B6 * IFERROR(VLOOKUP("industry|SO2|Asthma symptoms cough", US_national_yearly!$D:$AM, 34, FALSE) / VLOOKUP("industry|SO2|Asthma symptoms cough", US_national_yearly!$D:$AM, 10, FALSE), 1)</f>
        <v>7.8670629216272131E-3</v>
      </c>
      <c r="AA6" s="7">
        <f>$B6 * IFERROR(VLOOKUP("industry|SO2|Asthma symptoms cough", US_national_yearly!$D:$AM, 35, FALSE) / VLOOKUP("industry|SO2|Asthma symptoms cough", US_national_yearly!$D:$AM, 10, FALSE), 1)</f>
        <v>7.8670629216272131E-3</v>
      </c>
      <c r="AB6" s="7">
        <f>$B6 * IFERROR(VLOOKUP("industry|SO2|Asthma symptoms cough", US_national_yearly!$D:$AM, 36, FALSE) / VLOOKUP("industry|SO2|Asthma symptoms cough", US_national_yearly!$D:$AM, 10, FALSE), 1)</f>
        <v>7.8670629216272131E-3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1.0594073269001759E-2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1.0594073269001759E-2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1.0594073269001759E-2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1.0594073269001759E-2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1.0594073269001759E-2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1.0594073269001759E-2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1.0594073269001759E-2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1.0594073269001759E-2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1.0594073269001759E-2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1.0594073269001759E-2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1.0594073269001759E-2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1.0594073269001759E-2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1.0594073269001759E-2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1.0594073269001759E-2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1.0594073269001759E-2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1.0594073269001759E-2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1.0594073269001759E-2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1.0594073269001759E-2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1.0594073269001759E-2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1.0594073269001759E-2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1.0594073269001759E-2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1.0594073269001759E-2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1.0594073269001759E-2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1.0594073269001759E-2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1.0594073269001759E-2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1.0594073269001759E-2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1.0594073269001759E-2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1.6186192838491813E-2</v>
      </c>
      <c r="C8" s="7">
        <f>$B8 * IFERROR(VLOOKUP("industry|SO2|Asthma symptoms wheeze", US_national_yearly!$D:$AM, 11, FALSE) / VLOOKUP("industry|SO2|Asthma symptoms wheeze", US_national_yearly!$D:$AM, 10, FALSE), 1)</f>
        <v>1.6186192838491813E-2</v>
      </c>
      <c r="D8" s="7">
        <f>$B8 * IFERROR(VLOOKUP("industry|SO2|Asthma symptoms wheeze", US_national_yearly!$D:$AM, 12, FALSE) / VLOOKUP("industry|SO2|Asthma symptoms wheeze", US_national_yearly!$D:$AM, 10, FALSE), 1)</f>
        <v>1.6186192838491813E-2</v>
      </c>
      <c r="E8" s="7">
        <f>$B8 * IFERROR(VLOOKUP("industry|SO2|Asthma symptoms wheeze", US_national_yearly!$D:$AM, 13, FALSE) / VLOOKUP("industry|SO2|Asthma symptoms wheeze", US_national_yearly!$D:$AM, 10, FALSE), 1)</f>
        <v>1.6186192838491813E-2</v>
      </c>
      <c r="F8" s="7">
        <f>$B8 * IFERROR(VLOOKUP("industry|SO2|Asthma symptoms wheeze", US_national_yearly!$D:$AM, 14, FALSE) / VLOOKUP("industry|SO2|Asthma symptoms wheeze", US_national_yearly!$D:$AM, 10, FALSE), 1)</f>
        <v>1.6186192838491813E-2</v>
      </c>
      <c r="G8" s="7">
        <f>$B8 * IFERROR(VLOOKUP("industry|SO2|Asthma symptoms wheeze", US_national_yearly!$D:$AM, 15, FALSE) / VLOOKUP("industry|SO2|Asthma symptoms wheeze", US_national_yearly!$D:$AM, 10, FALSE), 1)</f>
        <v>1.6186192838491813E-2</v>
      </c>
      <c r="H8" s="7">
        <f>$B8 * IFERROR(VLOOKUP("industry|SO2|Asthma symptoms wheeze", US_national_yearly!$D:$AM, 16, FALSE) / VLOOKUP("industry|SO2|Asthma symptoms wheeze", US_national_yearly!$D:$AM, 10, FALSE), 1)</f>
        <v>1.6186192838491813E-2</v>
      </c>
      <c r="I8" s="7">
        <f>$B8 * IFERROR(VLOOKUP("industry|SO2|Asthma symptoms wheeze", US_national_yearly!$D:$AM, 17, FALSE) / VLOOKUP("industry|SO2|Asthma symptoms wheeze", US_national_yearly!$D:$AM, 10, FALSE), 1)</f>
        <v>1.6186192838491813E-2</v>
      </c>
      <c r="J8" s="7">
        <f>$B8 * IFERROR(VLOOKUP("industry|SO2|Asthma symptoms wheeze", US_national_yearly!$D:$AM, 18, FALSE) / VLOOKUP("industry|SO2|Asthma symptoms wheeze", US_national_yearly!$D:$AM, 10, FALSE), 1)</f>
        <v>1.6186192838491813E-2</v>
      </c>
      <c r="K8" s="7">
        <f>$B8 * IFERROR(VLOOKUP("industry|SO2|Asthma symptoms wheeze", US_national_yearly!$D:$AM, 19, FALSE) / VLOOKUP("industry|SO2|Asthma symptoms wheeze", US_national_yearly!$D:$AM, 10, FALSE), 1)</f>
        <v>1.6186192838491813E-2</v>
      </c>
      <c r="L8" s="7">
        <f>$B8 * IFERROR(VLOOKUP("industry|SO2|Asthma symptoms wheeze", US_national_yearly!$D:$AM, 20, FALSE) / VLOOKUP("industry|SO2|Asthma symptoms wheeze", US_national_yearly!$D:$AM, 10, FALSE), 1)</f>
        <v>1.6186192838491813E-2</v>
      </c>
      <c r="M8" s="7">
        <f>$B8 * IFERROR(VLOOKUP("industry|SO2|Asthma symptoms wheeze", US_national_yearly!$D:$AM, 21, FALSE) / VLOOKUP("industry|SO2|Asthma symptoms wheeze", US_national_yearly!$D:$AM, 10, FALSE), 1)</f>
        <v>1.6186192838491813E-2</v>
      </c>
      <c r="N8" s="7">
        <f>$B8 * IFERROR(VLOOKUP("industry|SO2|Asthma symptoms wheeze", US_national_yearly!$D:$AM, 22, FALSE) / VLOOKUP("industry|SO2|Asthma symptoms wheeze", US_national_yearly!$D:$AM, 10, FALSE), 1)</f>
        <v>1.6186192838491813E-2</v>
      </c>
      <c r="O8" s="7">
        <f>$B8 * IFERROR(VLOOKUP("industry|SO2|Asthma symptoms wheeze", US_national_yearly!$D:$AM, 23, FALSE) / VLOOKUP("industry|SO2|Asthma symptoms wheeze", US_national_yearly!$D:$AM, 10, FALSE), 1)</f>
        <v>1.6186192838491813E-2</v>
      </c>
      <c r="P8" s="7">
        <f>$B8 * IFERROR(VLOOKUP("industry|SO2|Asthma symptoms wheeze", US_national_yearly!$D:$AM, 24, FALSE) / VLOOKUP("industry|SO2|Asthma symptoms wheeze", US_national_yearly!$D:$AM, 10, FALSE), 1)</f>
        <v>1.6186192838491813E-2</v>
      </c>
      <c r="Q8" s="7">
        <f>$B8 * IFERROR(VLOOKUP("industry|SO2|Asthma symptoms wheeze", US_national_yearly!$D:$AM, 25, FALSE) / VLOOKUP("industry|SO2|Asthma symptoms wheeze", US_national_yearly!$D:$AM, 10, FALSE), 1)</f>
        <v>1.6186192838491813E-2</v>
      </c>
      <c r="R8" s="7">
        <f>$B8 * IFERROR(VLOOKUP("industry|SO2|Asthma symptoms wheeze", US_national_yearly!$D:$AM, 26, FALSE) / VLOOKUP("industry|SO2|Asthma symptoms wheeze", US_national_yearly!$D:$AM, 10, FALSE), 1)</f>
        <v>1.6186192838491813E-2</v>
      </c>
      <c r="S8" s="7">
        <f>$B8 * IFERROR(VLOOKUP("industry|SO2|Asthma symptoms wheeze", US_national_yearly!$D:$AM, 27, FALSE) / VLOOKUP("industry|SO2|Asthma symptoms wheeze", US_national_yearly!$D:$AM, 10, FALSE), 1)</f>
        <v>1.6186192838491813E-2</v>
      </c>
      <c r="T8" s="7">
        <f>$B8 * IFERROR(VLOOKUP("industry|SO2|Asthma symptoms wheeze", US_national_yearly!$D:$AM, 28, FALSE) / VLOOKUP("industry|SO2|Asthma symptoms wheeze", US_national_yearly!$D:$AM, 10, FALSE), 1)</f>
        <v>1.6186192838491813E-2</v>
      </c>
      <c r="U8" s="7">
        <f>$B8 * IFERROR(VLOOKUP("industry|SO2|Asthma symptoms wheeze", US_national_yearly!$D:$AM, 29, FALSE) / VLOOKUP("industry|SO2|Asthma symptoms wheeze", US_national_yearly!$D:$AM, 10, FALSE), 1)</f>
        <v>1.6186192838491813E-2</v>
      </c>
      <c r="V8" s="7">
        <f>$B8 * IFERROR(VLOOKUP("industry|SO2|Asthma symptoms wheeze", US_national_yearly!$D:$AM, 30, FALSE) / VLOOKUP("industry|SO2|Asthma symptoms wheeze", US_national_yearly!$D:$AM, 10, FALSE), 1)</f>
        <v>1.6186192838491813E-2</v>
      </c>
      <c r="W8" s="7">
        <f>$B8 * IFERROR(VLOOKUP("industry|SO2|Asthma symptoms wheeze", US_national_yearly!$D:$AM, 31, FALSE) / VLOOKUP("industry|SO2|Asthma symptoms wheeze", US_national_yearly!$D:$AM, 10, FALSE), 1)</f>
        <v>1.6186192838491813E-2</v>
      </c>
      <c r="X8" s="7">
        <f>$B8 * IFERROR(VLOOKUP("industry|SO2|Asthma symptoms wheeze", US_national_yearly!$D:$AM, 32, FALSE) / VLOOKUP("industry|SO2|Asthma symptoms wheeze", US_national_yearly!$D:$AM, 10, FALSE), 1)</f>
        <v>1.6186192838491813E-2</v>
      </c>
      <c r="Y8" s="7">
        <f>$B8 * IFERROR(VLOOKUP("industry|SO2|Asthma symptoms wheeze", US_national_yearly!$D:$AM, 33, FALSE) / VLOOKUP("industry|SO2|Asthma symptoms wheeze", US_national_yearly!$D:$AM, 10, FALSE), 1)</f>
        <v>1.6186192838491813E-2</v>
      </c>
      <c r="Z8" s="7">
        <f>$B8 * IFERROR(VLOOKUP("industry|SO2|Asthma symptoms wheeze", US_national_yearly!$D:$AM, 34, FALSE) / VLOOKUP("industry|SO2|Asthma symptoms wheeze", US_national_yearly!$D:$AM, 10, FALSE), 1)</f>
        <v>1.6186192838491813E-2</v>
      </c>
      <c r="AA8" s="7">
        <f>$B8 * IFERROR(VLOOKUP("industry|SO2|Asthma symptoms wheeze", US_national_yearly!$D:$AM, 35, FALSE) / VLOOKUP("industry|SO2|Asthma symptoms wheeze", US_national_yearly!$D:$AM, 10, FALSE), 1)</f>
        <v>1.6186192838491813E-2</v>
      </c>
      <c r="AB8" s="7">
        <f>$B8 * IFERROR(VLOOKUP("industry|SO2|Asthma symptoms wheeze", US_national_yearly!$D:$AM, 36, FALSE) / VLOOKUP("industry|SO2|Asthma symptoms wheeze", US_national_yearly!$D:$AM, 10, FALSE), 1)</f>
        <v>1.6186192838491813E-2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2.2169297460103513E-4</v>
      </c>
      <c r="C12" s="7">
        <f>$B12 * IFERROR(VLOOKUP("industry|SO2|Respiratory hospital admissions", US_national_yearly!$D:$AM, 11, FALSE) / VLOOKUP("industry|SO2|Respiratory hospital admissions", US_national_yearly!$D:$AM, 10, FALSE), 1)</f>
        <v>2.2299167220887314E-4</v>
      </c>
      <c r="D12" s="7">
        <f>$B12 * IFERROR(VLOOKUP("industry|SO2|Respiratory hospital admissions", US_national_yearly!$D:$AM, 12, FALSE) / VLOOKUP("industry|SO2|Respiratory hospital admissions", US_national_yearly!$D:$AM, 10, FALSE), 1)</f>
        <v>2.2429036981671114E-4</v>
      </c>
      <c r="E12" s="7">
        <f>$B12 * IFERROR(VLOOKUP("industry|SO2|Respiratory hospital admissions", US_national_yearly!$D:$AM, 13, FALSE) / VLOOKUP("industry|SO2|Respiratory hospital admissions", US_national_yearly!$D:$AM, 10, FALSE), 1)</f>
        <v>2.2558906742454912E-4</v>
      </c>
      <c r="F12" s="7">
        <f>$B12 * IFERROR(VLOOKUP("industry|SO2|Respiratory hospital admissions", US_national_yearly!$D:$AM, 14, FALSE) / VLOOKUP("industry|SO2|Respiratory hospital admissions", US_national_yearly!$D:$AM, 10, FALSE), 1)</f>
        <v>2.2688776503238718E-4</v>
      </c>
      <c r="G12" s="7">
        <f>$B12 * IFERROR(VLOOKUP("industry|SO2|Respiratory hospital admissions", US_national_yearly!$D:$AM, 15, FALSE) / VLOOKUP("industry|SO2|Respiratory hospital admissions", US_national_yearly!$D:$AM, 10, FALSE), 1)</f>
        <v>2.2830359664782832E-4</v>
      </c>
      <c r="H12" s="7">
        <f>$B12 * IFERROR(VLOOKUP("industry|SO2|Respiratory hospital admissions", US_national_yearly!$D:$AM, 16, FALSE) / VLOOKUP("industry|SO2|Respiratory hospital admissions", US_national_yearly!$D:$AM, 10, FALSE), 1)</f>
        <v>2.2971942826326947E-4</v>
      </c>
      <c r="I12" s="7">
        <f>$B12 * IFERROR(VLOOKUP("industry|SO2|Respiratory hospital admissions", US_national_yearly!$D:$AM, 17, FALSE) / VLOOKUP("industry|SO2|Respiratory hospital admissions", US_national_yearly!$D:$AM, 10, FALSE), 1)</f>
        <v>2.311100070651306E-4</v>
      </c>
      <c r="J12" s="7">
        <f>$B12 * IFERROR(VLOOKUP("industry|SO2|Respiratory hospital admissions", US_national_yearly!$D:$AM, 18, FALSE) / VLOOKUP("industry|SO2|Respiratory hospital admissions", US_national_yearly!$D:$AM, 10, FALSE), 1)</f>
        <v>2.3250058586699176E-4</v>
      </c>
      <c r="K12" s="7">
        <f>$B12 * IFERROR(VLOOKUP("industry|SO2|Respiratory hospital admissions", US_national_yearly!$D:$AM, 19, FALSE) / VLOOKUP("industry|SO2|Respiratory hospital admissions", US_national_yearly!$D:$AM, 10, FALSE), 1)</f>
        <v>2.3389116466885287E-4</v>
      </c>
      <c r="L12" s="7">
        <f>$B12 * IFERROR(VLOOKUP("industry|SO2|Respiratory hospital admissions", US_national_yearly!$D:$AM, 20, FALSE) / VLOOKUP("industry|SO2|Respiratory hospital admissions", US_national_yearly!$D:$AM, 10, FALSE), 1)</f>
        <v>2.3528174347071403E-4</v>
      </c>
      <c r="M12" s="7">
        <f>$B12 * IFERROR(VLOOKUP("industry|SO2|Respiratory hospital admissions", US_national_yearly!$D:$AM, 21, FALSE) / VLOOKUP("industry|SO2|Respiratory hospital admissions", US_national_yearly!$D:$AM, 10, FALSE), 1)</f>
        <v>2.3667232227257516E-4</v>
      </c>
      <c r="N12" s="7">
        <f>$B12 * IFERROR(VLOOKUP("industry|SO2|Respiratory hospital admissions", US_national_yearly!$D:$AM, 22, FALSE) / VLOOKUP("industry|SO2|Respiratory hospital admissions", US_national_yearly!$D:$AM, 10, FALSE), 1)</f>
        <v>2.3767856466617993E-4</v>
      </c>
      <c r="O12" s="7">
        <f>$B12 * IFERROR(VLOOKUP("industry|SO2|Respiratory hospital admissions", US_national_yearly!$D:$AM, 23, FALSE) / VLOOKUP("industry|SO2|Respiratory hospital admissions", US_national_yearly!$D:$AM, 10, FALSE), 1)</f>
        <v>2.3868480705978466E-4</v>
      </c>
      <c r="P12" s="7">
        <f>$B12 * IFERROR(VLOOKUP("industry|SO2|Respiratory hospital admissions", US_national_yearly!$D:$AM, 24, FALSE) / VLOOKUP("industry|SO2|Respiratory hospital admissions", US_national_yearly!$D:$AM, 10, FALSE), 1)</f>
        <v>2.3969104945338937E-4</v>
      </c>
      <c r="Q12" s="7">
        <f>$B12 * IFERROR(VLOOKUP("industry|SO2|Respiratory hospital admissions", US_national_yearly!$D:$AM, 25, FALSE) / VLOOKUP("industry|SO2|Respiratory hospital admissions", US_national_yearly!$D:$AM, 10, FALSE), 1)</f>
        <v>2.4069729184699414E-4</v>
      </c>
      <c r="R12" s="7">
        <f>$B12 * IFERROR(VLOOKUP("industry|SO2|Respiratory hospital admissions", US_national_yearly!$D:$AM, 26, FALSE) / VLOOKUP("industry|SO2|Respiratory hospital admissions", US_national_yearly!$D:$AM, 10, FALSE), 1)</f>
        <v>2.4170353424059885E-4</v>
      </c>
      <c r="S12" s="7">
        <f>$B12 * IFERROR(VLOOKUP("industry|SO2|Respiratory hospital admissions", US_national_yearly!$D:$AM, 27, FALSE) / VLOOKUP("industry|SO2|Respiratory hospital admissions", US_national_yearly!$D:$AM, 10, FALSE), 1)</f>
        <v>2.4265981382399837E-4</v>
      </c>
      <c r="T12" s="7">
        <f>$B12 * IFERROR(VLOOKUP("industry|SO2|Respiratory hospital admissions", US_national_yearly!$D:$AM, 28, FALSE) / VLOOKUP("industry|SO2|Respiratory hospital admissions", US_national_yearly!$D:$AM, 10, FALSE), 1)</f>
        <v>2.4361609340739783E-4</v>
      </c>
      <c r="U12" s="7">
        <f>$B12 * IFERROR(VLOOKUP("industry|SO2|Respiratory hospital admissions", US_national_yearly!$D:$AM, 29, FALSE) / VLOOKUP("industry|SO2|Respiratory hospital admissions", US_national_yearly!$D:$AM, 10, FALSE), 1)</f>
        <v>2.4457237299079729E-4</v>
      </c>
      <c r="V12" s="7">
        <f>$B12 * IFERROR(VLOOKUP("industry|SO2|Respiratory hospital admissions", US_national_yearly!$D:$AM, 30, FALSE) / VLOOKUP("industry|SO2|Respiratory hospital admissions", US_national_yearly!$D:$AM, 10, FALSE), 1)</f>
        <v>2.4552865257419684E-4</v>
      </c>
      <c r="W12" s="7">
        <f>$B12 * IFERROR(VLOOKUP("industry|SO2|Respiratory hospital admissions", US_national_yearly!$D:$AM, 31, FALSE) / VLOOKUP("industry|SO2|Respiratory hospital admissions", US_national_yearly!$D:$AM, 10, FALSE), 1)</f>
        <v>2.4648493215759628E-4</v>
      </c>
      <c r="X12" s="7">
        <f>$B12 * IFERROR(VLOOKUP("industry|SO2|Respiratory hospital admissions", US_national_yearly!$D:$AM, 32, FALSE) / VLOOKUP("industry|SO2|Respiratory hospital admissions", US_national_yearly!$D:$AM, 10, FALSE), 1)</f>
        <v>2.4739302961511661E-4</v>
      </c>
      <c r="Y12" s="7">
        <f>$B12 * IFERROR(VLOOKUP("industry|SO2|Respiratory hospital admissions", US_national_yearly!$D:$AM, 33, FALSE) / VLOOKUP("industry|SO2|Respiratory hospital admissions", US_national_yearly!$D:$AM, 10, FALSE), 1)</f>
        <v>2.4830112707263701E-4</v>
      </c>
      <c r="Z12" s="7">
        <f>$B12 * IFERROR(VLOOKUP("industry|SO2|Respiratory hospital admissions", US_national_yearly!$D:$AM, 34, FALSE) / VLOOKUP("industry|SO2|Respiratory hospital admissions", US_national_yearly!$D:$AM, 10, FALSE), 1)</f>
        <v>2.4920922453015734E-4</v>
      </c>
      <c r="AA12" s="7">
        <f>$B12 * IFERROR(VLOOKUP("industry|SO2|Respiratory hospital admissions", US_national_yearly!$D:$AM, 35, FALSE) / VLOOKUP("industry|SO2|Respiratory hospital admissions", US_national_yearly!$D:$AM, 10, FALSE), 1)</f>
        <v>2.5011732198767768E-4</v>
      </c>
      <c r="AB12" s="7">
        <f>$B12 * IFERROR(VLOOKUP("industry|SO2|Respiratory hospital admissions", US_national_yearly!$D:$AM, 36, FALSE) / VLOOKUP("industry|SO2|Respiratory hospital admissions", US_national_yearly!$D:$AM, 10, FALSE), 1)</f>
        <v>2.5102541944519802E-4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9.2689883171694781E-4</v>
      </c>
      <c r="C13" s="7">
        <f>$B13 * IFERROR(VLOOKUP("industry|SO2|Non-fatal heart attacks", US_national_yearly!$D:$AM, 11, FALSE) / VLOOKUP("industry|SO2|Non-fatal heart attacks", US_national_yearly!$D:$AM, 10, FALSE), 1)</f>
        <v>9.541091056052836E-4</v>
      </c>
      <c r="D13" s="7">
        <f>$B13 * IFERROR(VLOOKUP("industry|SO2|Non-fatal heart attacks", US_national_yearly!$D:$AM, 12, FALSE) / VLOOKUP("industry|SO2|Non-fatal heart attacks", US_national_yearly!$D:$AM, 10, FALSE), 1)</f>
        <v>9.813193794936195E-4</v>
      </c>
      <c r="E13" s="7">
        <f>$B13 * IFERROR(VLOOKUP("industry|SO2|Non-fatal heart attacks", US_national_yearly!$D:$AM, 13, FALSE) / VLOOKUP("industry|SO2|Non-fatal heart attacks", US_national_yearly!$D:$AM, 10, FALSE), 1)</f>
        <v>1.0085296533819551E-3</v>
      </c>
      <c r="F13" s="7">
        <f>$B13 * IFERROR(VLOOKUP("industry|SO2|Non-fatal heart attacks", US_national_yearly!$D:$AM, 14, FALSE) / VLOOKUP("industry|SO2|Non-fatal heart attacks", US_national_yearly!$D:$AM, 10, FALSE), 1)</f>
        <v>1.0357399272702911E-3</v>
      </c>
      <c r="G13" s="7">
        <f>$B13 * IFERROR(VLOOKUP("industry|SO2|Non-fatal heart attacks", US_national_yearly!$D:$AM, 15, FALSE) / VLOOKUP("industry|SO2|Non-fatal heart attacks", US_national_yearly!$D:$AM, 10, FALSE), 1)</f>
        <v>1.0614188031863934E-3</v>
      </c>
      <c r="H13" s="7">
        <f>$B13 * IFERROR(VLOOKUP("industry|SO2|Non-fatal heart attacks", US_national_yearly!$D:$AM, 16, FALSE) / VLOOKUP("industry|SO2|Non-fatal heart attacks", US_national_yearly!$D:$AM, 10, FALSE), 1)</f>
        <v>1.0870976791024958E-3</v>
      </c>
      <c r="I13" s="7">
        <f>$B13 * IFERROR(VLOOKUP("industry|SO2|Non-fatal heart attacks", US_national_yearly!$D:$AM, 17, FALSE) / VLOOKUP("industry|SO2|Non-fatal heart attacks", US_national_yearly!$D:$AM, 10, FALSE), 1)</f>
        <v>1.1077992979514313E-3</v>
      </c>
      <c r="J13" s="7">
        <f>$B13 * IFERROR(VLOOKUP("industry|SO2|Non-fatal heart attacks", US_national_yearly!$D:$AM, 18, FALSE) / VLOOKUP("industry|SO2|Non-fatal heart attacks", US_national_yearly!$D:$AM, 10, FALSE), 1)</f>
        <v>1.1285009168003671E-3</v>
      </c>
      <c r="K13" s="7">
        <f>$B13 * IFERROR(VLOOKUP("industry|SO2|Non-fatal heart attacks", US_national_yearly!$D:$AM, 19, FALSE) / VLOOKUP("industry|SO2|Non-fatal heart attacks", US_national_yearly!$D:$AM, 10, FALSE), 1)</f>
        <v>1.1492025356493027E-3</v>
      </c>
      <c r="L13" s="7">
        <f>$B13 * IFERROR(VLOOKUP("industry|SO2|Non-fatal heart attacks", US_national_yearly!$D:$AM, 20, FALSE) / VLOOKUP("industry|SO2|Non-fatal heart attacks", US_national_yearly!$D:$AM, 10, FALSE), 1)</f>
        <v>1.1699041544982382E-3</v>
      </c>
      <c r="M13" s="7">
        <f>$B13 * IFERROR(VLOOKUP("industry|SO2|Non-fatal heart attacks", US_national_yearly!$D:$AM, 21, FALSE) / VLOOKUP("industry|SO2|Non-fatal heart attacks", US_national_yearly!$D:$AM, 10, FALSE), 1)</f>
        <v>1.190605773347174E-3</v>
      </c>
      <c r="N13" s="7">
        <f>$B13 * IFERROR(VLOOKUP("industry|SO2|Non-fatal heart attacks", US_national_yearly!$D:$AM, 22, FALSE) / VLOOKUP("industry|SO2|Non-fatal heart attacks", US_national_yearly!$D:$AM, 10, FALSE), 1)</f>
        <v>1.2040546478492222E-3</v>
      </c>
      <c r="O13" s="7">
        <f>$B13 * IFERROR(VLOOKUP("industry|SO2|Non-fatal heart attacks", US_national_yearly!$D:$AM, 23, FALSE) / VLOOKUP("industry|SO2|Non-fatal heart attacks", US_national_yearly!$D:$AM, 10, FALSE), 1)</f>
        <v>1.2175035223512707E-3</v>
      </c>
      <c r="P13" s="7">
        <f>$B13 * IFERROR(VLOOKUP("industry|SO2|Non-fatal heart attacks", US_national_yearly!$D:$AM, 24, FALSE) / VLOOKUP("industry|SO2|Non-fatal heart attacks", US_national_yearly!$D:$AM, 10, FALSE), 1)</f>
        <v>1.2309523968533189E-3</v>
      </c>
      <c r="Q13" s="7">
        <f>$B13 * IFERROR(VLOOKUP("industry|SO2|Non-fatal heart attacks", US_national_yearly!$D:$AM, 25, FALSE) / VLOOKUP("industry|SO2|Non-fatal heart attacks", US_national_yearly!$D:$AM, 10, FALSE), 1)</f>
        <v>1.2444012713553672E-3</v>
      </c>
      <c r="R13" s="7">
        <f>$B13 * IFERROR(VLOOKUP("industry|SO2|Non-fatal heart attacks", US_national_yearly!$D:$AM, 26, FALSE) / VLOOKUP("industry|SO2|Non-fatal heart attacks", US_national_yearly!$D:$AM, 10, FALSE), 1)</f>
        <v>1.2578501458574156E-3</v>
      </c>
      <c r="S13" s="7">
        <f>$B13 * IFERROR(VLOOKUP("industry|SO2|Non-fatal heart attacks", US_national_yearly!$D:$AM, 27, FALSE) / VLOOKUP("industry|SO2|Non-fatal heart attacks", US_national_yearly!$D:$AM, 10, FALSE), 1)</f>
        <v>1.2649136924842554E-3</v>
      </c>
      <c r="T13" s="7">
        <f>$B13 * IFERROR(VLOOKUP("industry|SO2|Non-fatal heart attacks", US_national_yearly!$D:$AM, 28, FALSE) / VLOOKUP("industry|SO2|Non-fatal heart attacks", US_national_yearly!$D:$AM, 10, FALSE), 1)</f>
        <v>1.2719772391110952E-3</v>
      </c>
      <c r="U13" s="7">
        <f>$B13 * IFERROR(VLOOKUP("industry|SO2|Non-fatal heart attacks", US_national_yearly!$D:$AM, 29, FALSE) / VLOOKUP("industry|SO2|Non-fatal heart attacks", US_national_yearly!$D:$AM, 10, FALSE), 1)</f>
        <v>1.279040785737935E-3</v>
      </c>
      <c r="V13" s="7">
        <f>$B13 * IFERROR(VLOOKUP("industry|SO2|Non-fatal heart attacks", US_national_yearly!$D:$AM, 30, FALSE) / VLOOKUP("industry|SO2|Non-fatal heart attacks", US_national_yearly!$D:$AM, 10, FALSE), 1)</f>
        <v>1.2861043323647747E-3</v>
      </c>
      <c r="W13" s="7">
        <f>$B13 * IFERROR(VLOOKUP("industry|SO2|Non-fatal heart attacks", US_national_yearly!$D:$AM, 31, FALSE) / VLOOKUP("industry|SO2|Non-fatal heart attacks", US_national_yearly!$D:$AM, 10, FALSE), 1)</f>
        <v>1.2931678789916145E-3</v>
      </c>
      <c r="X13" s="7">
        <f>$B13 * IFERROR(VLOOKUP("industry|SO2|Non-fatal heart attacks", US_national_yearly!$D:$AM, 32, FALSE) / VLOOKUP("industry|SO2|Non-fatal heart attacks", US_national_yearly!$D:$AM, 10, FALSE), 1)</f>
        <v>1.298532438821242E-3</v>
      </c>
      <c r="Y13" s="7">
        <f>$B13 * IFERROR(VLOOKUP("industry|SO2|Non-fatal heart attacks", US_national_yearly!$D:$AM, 33, FALSE) / VLOOKUP("industry|SO2|Non-fatal heart attacks", US_national_yearly!$D:$AM, 10, FALSE), 1)</f>
        <v>1.3038969986508692E-3</v>
      </c>
      <c r="Z13" s="7">
        <f>$B13 * IFERROR(VLOOKUP("industry|SO2|Non-fatal heart attacks", US_national_yearly!$D:$AM, 34, FALSE) / VLOOKUP("industry|SO2|Non-fatal heart attacks", US_national_yearly!$D:$AM, 10, FALSE), 1)</f>
        <v>1.3092615584804966E-3</v>
      </c>
      <c r="AA13" s="7">
        <f>$B13 * IFERROR(VLOOKUP("industry|SO2|Non-fatal heart attacks", US_national_yearly!$D:$AM, 35, FALSE) / VLOOKUP("industry|SO2|Non-fatal heart attacks", US_national_yearly!$D:$AM, 10, FALSE), 1)</f>
        <v>1.314626118310124E-3</v>
      </c>
      <c r="AB13" s="7">
        <f>$B13 * IFERROR(VLOOKUP("industry|SO2|Non-fatal heart attacks", US_national_yearly!$D:$AM, 36, FALSE) / VLOOKUP("industry|SO2|Non-fatal heart attacks", US_national_yearly!$D:$AM, 10, FALSE), 1)</f>
        <v>1.3199906781397514E-3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0.87326076928672369</v>
      </c>
      <c r="C14" s="7">
        <f>$B14 * IFERROR(VLOOKUP("industry|SO2|Minor restricted activity days", US_national_yearly!$D:$AM, 11, FALSE) / VLOOKUP("industry|SO2|Minor restricted activity days", US_national_yearly!$D:$AM, 10, FALSE), 1)</f>
        <v>0.87544513420912118</v>
      </c>
      <c r="D14" s="7">
        <f>$B14 * IFERROR(VLOOKUP("industry|SO2|Minor restricted activity days", US_national_yearly!$D:$AM, 12, FALSE) / VLOOKUP("industry|SO2|Minor restricted activity days", US_national_yearly!$D:$AM, 10, FALSE), 1)</f>
        <v>0.87762949913151855</v>
      </c>
      <c r="E14" s="7">
        <f>$B14 * IFERROR(VLOOKUP("industry|SO2|Minor restricted activity days", US_national_yearly!$D:$AM, 13, FALSE) / VLOOKUP("industry|SO2|Minor restricted activity days", US_national_yearly!$D:$AM, 10, FALSE), 1)</f>
        <v>0.87981386405391604</v>
      </c>
      <c r="F14" s="7">
        <f>$B14 * IFERROR(VLOOKUP("industry|SO2|Minor restricted activity days", US_national_yearly!$D:$AM, 14, FALSE) / VLOOKUP("industry|SO2|Minor restricted activity days", US_national_yearly!$D:$AM, 10, FALSE), 1)</f>
        <v>0.88199822897631353</v>
      </c>
      <c r="G14" s="7">
        <f>$B14 * IFERROR(VLOOKUP("industry|SO2|Minor restricted activity days", US_national_yearly!$D:$AM, 15, FALSE) / VLOOKUP("industry|SO2|Minor restricted activity days", US_national_yearly!$D:$AM, 10, FALSE), 1)</f>
        <v>0.88521163791936663</v>
      </c>
      <c r="H14" s="7">
        <f>$B14 * IFERROR(VLOOKUP("industry|SO2|Minor restricted activity days", US_national_yearly!$D:$AM, 16, FALSE) / VLOOKUP("industry|SO2|Minor restricted activity days", US_national_yearly!$D:$AM, 10, FALSE), 1)</f>
        <v>0.88842504686241963</v>
      </c>
      <c r="I14" s="7">
        <f>$B14 * IFERROR(VLOOKUP("industry|SO2|Minor restricted activity days", US_national_yearly!$D:$AM, 17, FALSE) / VLOOKUP("industry|SO2|Minor restricted activity days", US_national_yearly!$D:$AM, 10, FALSE), 1)</f>
        <v>0.89390488109324506</v>
      </c>
      <c r="J14" s="7">
        <f>$B14 * IFERROR(VLOOKUP("industry|SO2|Minor restricted activity days", US_national_yearly!$D:$AM, 18, FALSE) / VLOOKUP("industry|SO2|Minor restricted activity days", US_national_yearly!$D:$AM, 10, FALSE), 1)</f>
        <v>0.89938471532407049</v>
      </c>
      <c r="K14" s="7">
        <f>$B14 * IFERROR(VLOOKUP("industry|SO2|Minor restricted activity days", US_national_yearly!$D:$AM, 19, FALSE) / VLOOKUP("industry|SO2|Minor restricted activity days", US_national_yearly!$D:$AM, 10, FALSE), 1)</f>
        <v>0.90486454955489604</v>
      </c>
      <c r="L14" s="7">
        <f>$B14 * IFERROR(VLOOKUP("industry|SO2|Minor restricted activity days", US_national_yearly!$D:$AM, 20, FALSE) / VLOOKUP("industry|SO2|Minor restricted activity days", US_national_yearly!$D:$AM, 10, FALSE), 1)</f>
        <v>0.91034438378572147</v>
      </c>
      <c r="M14" s="7">
        <f>$B14 * IFERROR(VLOOKUP("industry|SO2|Minor restricted activity days", US_national_yearly!$D:$AM, 21, FALSE) / VLOOKUP("industry|SO2|Minor restricted activity days", US_national_yearly!$D:$AM, 10, FALSE), 1)</f>
        <v>0.9158242180165469</v>
      </c>
      <c r="N14" s="7">
        <f>$B14 * IFERROR(VLOOKUP("industry|SO2|Minor restricted activity days", US_national_yearly!$D:$AM, 22, FALSE) / VLOOKUP("industry|SO2|Minor restricted activity days", US_national_yearly!$D:$AM, 10, FALSE), 1)</f>
        <v>0.92333772979142836</v>
      </c>
      <c r="O14" s="7">
        <f>$B14 * IFERROR(VLOOKUP("industry|SO2|Minor restricted activity days", US_national_yearly!$D:$AM, 23, FALSE) / VLOOKUP("industry|SO2|Minor restricted activity days", US_national_yearly!$D:$AM, 10, FALSE), 1)</f>
        <v>0.93085124156630983</v>
      </c>
      <c r="P14" s="7">
        <f>$B14 * IFERROR(VLOOKUP("industry|SO2|Minor restricted activity days", US_national_yearly!$D:$AM, 24, FALSE) / VLOOKUP("industry|SO2|Minor restricted activity days", US_national_yearly!$D:$AM, 10, FALSE), 1)</f>
        <v>0.93836475334119129</v>
      </c>
      <c r="Q14" s="7">
        <f>$B14 * IFERROR(VLOOKUP("industry|SO2|Minor restricted activity days", US_national_yearly!$D:$AM, 25, FALSE) / VLOOKUP("industry|SO2|Minor restricted activity days", US_national_yearly!$D:$AM, 10, FALSE), 1)</f>
        <v>0.94587826511607298</v>
      </c>
      <c r="R14" s="7">
        <f>$B14 * IFERROR(VLOOKUP("industry|SO2|Minor restricted activity days", US_national_yearly!$D:$AM, 26, FALSE) / VLOOKUP("industry|SO2|Minor restricted activity days", US_national_yearly!$D:$AM, 10, FALSE), 1)</f>
        <v>0.95339177689095445</v>
      </c>
      <c r="S14" s="7">
        <f>$B14 * IFERROR(VLOOKUP("industry|SO2|Minor restricted activity days", US_national_yearly!$D:$AM, 27, FALSE) / VLOOKUP("industry|SO2|Minor restricted activity days", US_national_yearly!$D:$AM, 10, FALSE), 1)</f>
        <v>0.96105992246333916</v>
      </c>
      <c r="T14" s="7">
        <f>$B14 * IFERROR(VLOOKUP("industry|SO2|Minor restricted activity days", US_national_yearly!$D:$AM, 28, FALSE) / VLOOKUP("industry|SO2|Minor restricted activity days", US_national_yearly!$D:$AM, 10, FALSE), 1)</f>
        <v>0.96872806803572409</v>
      </c>
      <c r="U14" s="7">
        <f>$B14 * IFERROR(VLOOKUP("industry|SO2|Minor restricted activity days", US_national_yearly!$D:$AM, 29, FALSE) / VLOOKUP("industry|SO2|Minor restricted activity days", US_national_yearly!$D:$AM, 10, FALSE), 1)</f>
        <v>0.97639621360810891</v>
      </c>
      <c r="V14" s="7">
        <f>$B14 * IFERROR(VLOOKUP("industry|SO2|Minor restricted activity days", US_national_yearly!$D:$AM, 30, FALSE) / VLOOKUP("industry|SO2|Minor restricted activity days", US_national_yearly!$D:$AM, 10, FALSE), 1)</f>
        <v>0.98406435918049384</v>
      </c>
      <c r="W14" s="7">
        <f>$B14 * IFERROR(VLOOKUP("industry|SO2|Minor restricted activity days", US_national_yearly!$D:$AM, 31, FALSE) / VLOOKUP("industry|SO2|Minor restricted activity days", US_national_yearly!$D:$AM, 10, FALSE), 1)</f>
        <v>0.99173250475287855</v>
      </c>
      <c r="X14" s="7">
        <f>$B14 * IFERROR(VLOOKUP("industry|SO2|Minor restricted activity days", US_national_yearly!$D:$AM, 32, FALSE) / VLOOKUP("industry|SO2|Minor restricted activity days", US_national_yearly!$D:$AM, 10, FALSE), 1)</f>
        <v>0.99847504463327819</v>
      </c>
      <c r="Y14" s="7">
        <f>$B14 * IFERROR(VLOOKUP("industry|SO2|Minor restricted activity days", US_national_yearly!$D:$AM, 33, FALSE) / VLOOKUP("industry|SO2|Minor restricted activity days", US_national_yearly!$D:$AM, 10, FALSE), 1)</f>
        <v>1.0052175845136777</v>
      </c>
      <c r="Z14" s="7">
        <f>$B14 * IFERROR(VLOOKUP("industry|SO2|Minor restricted activity days", US_national_yearly!$D:$AM, 34, FALSE) / VLOOKUP("industry|SO2|Minor restricted activity days", US_national_yearly!$D:$AM, 10, FALSE), 1)</f>
        <v>1.0119601243940772</v>
      </c>
      <c r="AA14" s="7">
        <f>$B14 * IFERROR(VLOOKUP("industry|SO2|Minor restricted activity days", US_national_yearly!$D:$AM, 35, FALSE) / VLOOKUP("industry|SO2|Minor restricted activity days", US_national_yearly!$D:$AM, 10, FALSE), 1)</f>
        <v>1.0187026642744768</v>
      </c>
      <c r="AB14" s="7">
        <f>$B14 * IFERROR(VLOOKUP("industry|SO2|Minor restricted activity days", US_national_yearly!$D:$AM, 36, FALSE) / VLOOKUP("industry|SO2|Minor restricted activity days", US_national_yearly!$D:$AM, 10, FALSE), 1)</f>
        <v>1.0254452041548765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0.14796195385342992</v>
      </c>
      <c r="C15" s="7">
        <f>$B15 * IFERROR(VLOOKUP("industry|SO2|Work loss days", US_national_yearly!$D:$AM, 11, FALSE) / VLOOKUP("industry|SO2|Work loss days", US_national_yearly!$D:$AM, 10, FALSE), 1)</f>
        <v>0.14843778278074402</v>
      </c>
      <c r="D15" s="7">
        <f>$B15 * IFERROR(VLOOKUP("industry|SO2|Work loss days", US_national_yearly!$D:$AM, 12, FALSE) / VLOOKUP("industry|SO2|Work loss days", US_national_yearly!$D:$AM, 10, FALSE), 1)</f>
        <v>0.1489136117080582</v>
      </c>
      <c r="E15" s="7">
        <f>$B15 * IFERROR(VLOOKUP("industry|SO2|Work loss days", US_national_yearly!$D:$AM, 13, FALSE) / VLOOKUP("industry|SO2|Work loss days", US_national_yearly!$D:$AM, 10, FALSE), 1)</f>
        <v>0.14938944063537232</v>
      </c>
      <c r="F15" s="7">
        <f>$B15 * IFERROR(VLOOKUP("industry|SO2|Work loss days", US_national_yearly!$D:$AM, 14, FALSE) / VLOOKUP("industry|SO2|Work loss days", US_national_yearly!$D:$AM, 10, FALSE), 1)</f>
        <v>0.1498652695626865</v>
      </c>
      <c r="G15" s="7">
        <f>$B15 * IFERROR(VLOOKUP("industry|SO2|Work loss days", US_national_yearly!$D:$AM, 15, FALSE) / VLOOKUP("industry|SO2|Work loss days", US_national_yearly!$D:$AM, 10, FALSE), 1)</f>
        <v>0.15048635489998846</v>
      </c>
      <c r="H15" s="7">
        <f>$B15 * IFERROR(VLOOKUP("industry|SO2|Work loss days", US_national_yearly!$D:$AM, 16, FALSE) / VLOOKUP("industry|SO2|Work loss days", US_national_yearly!$D:$AM, 10, FALSE), 1)</f>
        <v>0.15110744023729047</v>
      </c>
      <c r="I15" s="7">
        <f>$B15 * IFERROR(VLOOKUP("industry|SO2|Work loss days", US_national_yearly!$D:$AM, 17, FALSE) / VLOOKUP("industry|SO2|Work loss days", US_national_yearly!$D:$AM, 10, FALSE), 1)</f>
        <v>0.15201529198735445</v>
      </c>
      <c r="J15" s="7">
        <f>$B15 * IFERROR(VLOOKUP("industry|SO2|Work loss days", US_national_yearly!$D:$AM, 18, FALSE) / VLOOKUP("industry|SO2|Work loss days", US_national_yearly!$D:$AM, 10, FALSE), 1)</f>
        <v>0.15292314373741833</v>
      </c>
      <c r="K15" s="7">
        <f>$B15 * IFERROR(VLOOKUP("industry|SO2|Work loss days", US_national_yearly!$D:$AM, 19, FALSE) / VLOOKUP("industry|SO2|Work loss days", US_national_yearly!$D:$AM, 10, FALSE), 1)</f>
        <v>0.15383099548748225</v>
      </c>
      <c r="L15" s="7">
        <f>$B15 * IFERROR(VLOOKUP("industry|SO2|Work loss days", US_national_yearly!$D:$AM, 20, FALSE) / VLOOKUP("industry|SO2|Work loss days", US_national_yearly!$D:$AM, 10, FALSE), 1)</f>
        <v>0.15473884723754622</v>
      </c>
      <c r="M15" s="7">
        <f>$B15 * IFERROR(VLOOKUP("industry|SO2|Work loss days", US_national_yearly!$D:$AM, 21, FALSE) / VLOOKUP("industry|SO2|Work loss days", US_national_yearly!$D:$AM, 10, FALSE), 1)</f>
        <v>0.1556466989876101</v>
      </c>
      <c r="N15" s="7">
        <f>$B15 * IFERROR(VLOOKUP("industry|SO2|Work loss days", US_national_yearly!$D:$AM, 22, FALSE) / VLOOKUP("industry|SO2|Work loss days", US_national_yearly!$D:$AM, 10, FALSE), 1)</f>
        <v>0.15678773498411169</v>
      </c>
      <c r="O15" s="7">
        <f>$B15 * IFERROR(VLOOKUP("industry|SO2|Work loss days", US_national_yearly!$D:$AM, 23, FALSE) / VLOOKUP("industry|SO2|Work loss days", US_national_yearly!$D:$AM, 10, FALSE), 1)</f>
        <v>0.15792877098061328</v>
      </c>
      <c r="P15" s="7">
        <f>$B15 * IFERROR(VLOOKUP("industry|SO2|Work loss days", US_national_yearly!$D:$AM, 24, FALSE) / VLOOKUP("industry|SO2|Work loss days", US_national_yearly!$D:$AM, 10, FALSE), 1)</f>
        <v>0.15906980697711487</v>
      </c>
      <c r="Q15" s="7">
        <f>$B15 * IFERROR(VLOOKUP("industry|SO2|Work loss days", US_national_yearly!$D:$AM, 25, FALSE) / VLOOKUP("industry|SO2|Work loss days", US_national_yearly!$D:$AM, 10, FALSE), 1)</f>
        <v>0.16021084297361643</v>
      </c>
      <c r="R15" s="7">
        <f>$B15 * IFERROR(VLOOKUP("industry|SO2|Work loss days", US_national_yearly!$D:$AM, 26, FALSE) / VLOOKUP("industry|SO2|Work loss days", US_national_yearly!$D:$AM, 10, FALSE), 1)</f>
        <v>0.16135187897011802</v>
      </c>
      <c r="S15" s="7">
        <f>$B15 * IFERROR(VLOOKUP("industry|SO2|Work loss days", US_national_yearly!$D:$AM, 27, FALSE) / VLOOKUP("industry|SO2|Work loss days", US_national_yearly!$D:$AM, 10, FALSE), 1)</f>
        <v>0.16262865122512088</v>
      </c>
      <c r="T15" s="7">
        <f>$B15 * IFERROR(VLOOKUP("industry|SO2|Work loss days", US_national_yearly!$D:$AM, 28, FALSE) / VLOOKUP("industry|SO2|Work loss days", US_national_yearly!$D:$AM, 10, FALSE), 1)</f>
        <v>0.16390542348012377</v>
      </c>
      <c r="U15" s="7">
        <f>$B15 * IFERROR(VLOOKUP("industry|SO2|Work loss days", US_national_yearly!$D:$AM, 29, FALSE) / VLOOKUP("industry|SO2|Work loss days", US_national_yearly!$D:$AM, 10, FALSE), 1)</f>
        <v>0.16518219573512671</v>
      </c>
      <c r="V15" s="7">
        <f>$B15 * IFERROR(VLOOKUP("industry|SO2|Work loss days", US_national_yearly!$D:$AM, 30, FALSE) / VLOOKUP("industry|SO2|Work loss days", US_national_yearly!$D:$AM, 10, FALSE), 1)</f>
        <v>0.16645896799012957</v>
      </c>
      <c r="W15" s="7">
        <f>$B15 * IFERROR(VLOOKUP("industry|SO2|Work loss days", US_national_yearly!$D:$AM, 31, FALSE) / VLOOKUP("industry|SO2|Work loss days", US_national_yearly!$D:$AM, 10, FALSE), 1)</f>
        <v>0.16773574024513246</v>
      </c>
      <c r="X15" s="7">
        <f>$B15 * IFERROR(VLOOKUP("industry|SO2|Work loss days", US_national_yearly!$D:$AM, 32, FALSE) / VLOOKUP("industry|SO2|Work loss days", US_national_yearly!$D:$AM, 10, FALSE), 1)</f>
        <v>0.16888250247594674</v>
      </c>
      <c r="Y15" s="7">
        <f>$B15 * IFERROR(VLOOKUP("industry|SO2|Work loss days", US_national_yearly!$D:$AM, 33, FALSE) / VLOOKUP("industry|SO2|Work loss days", US_national_yearly!$D:$AM, 10, FALSE), 1)</f>
        <v>0.17002926470676102</v>
      </c>
      <c r="Z15" s="7">
        <f>$B15 * IFERROR(VLOOKUP("industry|SO2|Work loss days", US_national_yearly!$D:$AM, 34, FALSE) / VLOOKUP("industry|SO2|Work loss days", US_national_yearly!$D:$AM, 10, FALSE), 1)</f>
        <v>0.17117602693757528</v>
      </c>
      <c r="AA15" s="7">
        <f>$B15 * IFERROR(VLOOKUP("industry|SO2|Work loss days", US_national_yearly!$D:$AM, 35, FALSE) / VLOOKUP("industry|SO2|Work loss days", US_national_yearly!$D:$AM, 10, FALSE), 1)</f>
        <v>0.17232278916838956</v>
      </c>
      <c r="AB15" s="7">
        <f>$B15 * IFERROR(VLOOKUP("industry|SO2|Work loss days", US_national_yearly!$D:$AM, 36, FALSE) / VLOOKUP("industry|SO2|Work loss days", US_national_yearly!$D:$AM, 10, FALSE), 1)</f>
        <v>0.17346955139920381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2.677196402988578E-4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2.7581473167364478E-4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2.8390982304843187E-4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2.920049144232189E-4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3.0010000579800593E-4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3.0785802316081197E-4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3.1561604052361794E-4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3.2227269107974347E-4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3.2892934163586911E-4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3.3558599219199469E-4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3.4224264274812033E-4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3.4889929330424586E-4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3.533715919835028E-4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3.5784389066275974E-4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3.6231618934201657E-4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3.6678848802127351E-4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3.7126078670053045E-4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3.7362556485821786E-4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3.7599034301590543E-4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3.7835512117359289E-4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3.8071989933128046E-4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3.8308467748896793E-4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3.8468389451449929E-4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3.8628311154003054E-4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3.8788232856556195E-4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3.8948154559109325E-4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3.9108076261662456E-4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1.8155481974995005E-5</v>
      </c>
      <c r="C2" s="7">
        <f>$B2 * IFERROR(VLOOKUP("LULUCF|PM25|Premature mortality", US_national_yearly!$D:$AM, 11, FALSE) / VLOOKUP("LULUCF|PM25|Premature mortality", US_national_yearly!$D:$AM, 10, FALSE), 1)</f>
        <v>1.8380570163997941E-5</v>
      </c>
      <c r="D2" s="7">
        <f>$B2 * IFERROR(VLOOKUP("LULUCF|PM25|Premature mortality", US_national_yearly!$D:$AM, 12, FALSE) / VLOOKUP("LULUCF|PM25|Premature mortality", US_national_yearly!$D:$AM, 10, FALSE), 1)</f>
        <v>1.8605658353000871E-5</v>
      </c>
      <c r="E2" s="7">
        <f>$B2 * IFERROR(VLOOKUP("LULUCF|PM25|Premature mortality", US_national_yearly!$D:$AM, 13, FALSE) / VLOOKUP("LULUCF|PM25|Premature mortality", US_national_yearly!$D:$AM, 10, FALSE), 1)</f>
        <v>1.8830746542003801E-5</v>
      </c>
      <c r="F2" s="7">
        <f>$B2 * IFERROR(VLOOKUP("LULUCF|PM25|Premature mortality", US_national_yearly!$D:$AM, 14, FALSE) / VLOOKUP("LULUCF|PM25|Premature mortality", US_national_yearly!$D:$AM, 10, FALSE), 1)</f>
        <v>1.9055834731006734E-5</v>
      </c>
      <c r="G2" s="7">
        <f>$B2 * IFERROR(VLOOKUP("LULUCF|PM25|Premature mortality", US_national_yearly!$D:$AM, 15, FALSE) / VLOOKUP("LULUCF|PM25|Premature mortality", US_national_yearly!$D:$AM, 10, FALSE), 1)</f>
        <v>1.9494192281515007E-5</v>
      </c>
      <c r="H2" s="7">
        <f>$B2 * IFERROR(VLOOKUP("LULUCF|PM25|Premature mortality", US_national_yearly!$D:$AM, 16, FALSE) / VLOOKUP("LULUCF|PM25|Premature mortality", US_national_yearly!$D:$AM, 10, FALSE), 1)</f>
        <v>1.993254983202328E-5</v>
      </c>
      <c r="I2" s="7">
        <f>$B2 * IFERROR(VLOOKUP("LULUCF|PM25|Premature mortality", US_national_yearly!$D:$AM, 17, FALSE) / VLOOKUP("LULUCF|PM25|Premature mortality", US_national_yearly!$D:$AM, 10, FALSE), 1)</f>
        <v>2.0220481523917571E-5</v>
      </c>
      <c r="J2" s="7">
        <f>$B2 * IFERROR(VLOOKUP("LULUCF|PM25|Premature mortality", US_national_yearly!$D:$AM, 18, FALSE) / VLOOKUP("LULUCF|PM25|Premature mortality", US_national_yearly!$D:$AM, 10, FALSE), 1)</f>
        <v>2.0508413215811869E-5</v>
      </c>
      <c r="K2" s="7">
        <f>$B2 * IFERROR(VLOOKUP("LULUCF|PM25|Premature mortality", US_national_yearly!$D:$AM, 19, FALSE) / VLOOKUP("LULUCF|PM25|Premature mortality", US_national_yearly!$D:$AM, 10, FALSE), 1)</f>
        <v>2.0796344907706161E-5</v>
      </c>
      <c r="L2" s="7">
        <f>$B2 * IFERROR(VLOOKUP("LULUCF|PM25|Premature mortality", US_national_yearly!$D:$AM, 20, FALSE) / VLOOKUP("LULUCF|PM25|Premature mortality", US_national_yearly!$D:$AM, 10, FALSE), 1)</f>
        <v>2.1084276599600459E-5</v>
      </c>
      <c r="M2" s="7">
        <f>$B2 * IFERROR(VLOOKUP("LULUCF|PM25|Premature mortality", US_national_yearly!$D:$AM, 21, FALSE) / VLOOKUP("LULUCF|PM25|Premature mortality", US_national_yearly!$D:$AM, 10, FALSE), 1)</f>
        <v>2.1372208291494754E-5</v>
      </c>
      <c r="N2" s="7">
        <f>$B2 * IFERROR(VLOOKUP("LULUCF|PM25|Premature mortality", US_national_yearly!$D:$AM, 22, FALSE) / VLOOKUP("LULUCF|PM25|Premature mortality", US_national_yearly!$D:$AM, 10, FALSE), 1)</f>
        <v>2.1595768925114728E-5</v>
      </c>
      <c r="O2" s="7">
        <f>$B2 * IFERROR(VLOOKUP("LULUCF|PM25|Premature mortality", US_national_yearly!$D:$AM, 23, FALSE) / VLOOKUP("LULUCF|PM25|Premature mortality", US_national_yearly!$D:$AM, 10, FALSE), 1)</f>
        <v>2.1819329558734701E-5</v>
      </c>
      <c r="P2" s="7">
        <f>$B2 * IFERROR(VLOOKUP("LULUCF|PM25|Premature mortality", US_national_yearly!$D:$AM, 24, FALSE) / VLOOKUP("LULUCF|PM25|Premature mortality", US_national_yearly!$D:$AM, 10, FALSE), 1)</f>
        <v>2.2042890192354675E-5</v>
      </c>
      <c r="Q2" s="7">
        <f>$B2 * IFERROR(VLOOKUP("LULUCF|PM25|Premature mortality", US_national_yearly!$D:$AM, 25, FALSE) / VLOOKUP("LULUCF|PM25|Premature mortality", US_national_yearly!$D:$AM, 10, FALSE), 1)</f>
        <v>2.2266450825974649E-5</v>
      </c>
      <c r="R2" s="7">
        <f>$B2 * IFERROR(VLOOKUP("LULUCF|PM25|Premature mortality", US_national_yearly!$D:$AM, 26, FALSE) / VLOOKUP("LULUCF|PM25|Premature mortality", US_national_yearly!$D:$AM, 10, FALSE), 1)</f>
        <v>2.2490011459594626E-5</v>
      </c>
      <c r="S2" s="7">
        <f>$B2 * IFERROR(VLOOKUP("LULUCF|PM25|Premature mortality", US_national_yearly!$D:$AM, 27, FALSE) / VLOOKUP("LULUCF|PM25|Premature mortality", US_national_yearly!$D:$AM, 10, FALSE), 1)</f>
        <v>2.2608447241078676E-5</v>
      </c>
      <c r="T2" s="7">
        <f>$B2 * IFERROR(VLOOKUP("LULUCF|PM25|Premature mortality", US_national_yearly!$D:$AM, 28, FALSE) / VLOOKUP("LULUCF|PM25|Premature mortality", US_national_yearly!$D:$AM, 10, FALSE), 1)</f>
        <v>2.2726883022562719E-5</v>
      </c>
      <c r="U2" s="7">
        <f>$B2 * IFERROR(VLOOKUP("LULUCF|PM25|Premature mortality", US_national_yearly!$D:$AM, 29, FALSE) / VLOOKUP("LULUCF|PM25|Premature mortality", US_national_yearly!$D:$AM, 10, FALSE), 1)</f>
        <v>2.2845318804046766E-5</v>
      </c>
      <c r="V2" s="7">
        <f>$B2 * IFERROR(VLOOKUP("LULUCF|PM25|Premature mortality", US_national_yearly!$D:$AM, 30, FALSE) / VLOOKUP("LULUCF|PM25|Premature mortality", US_national_yearly!$D:$AM, 10, FALSE), 1)</f>
        <v>2.2963754585530809E-5</v>
      </c>
      <c r="W2" s="7">
        <f>$B2 * IFERROR(VLOOKUP("LULUCF|PM25|Premature mortality", US_national_yearly!$D:$AM, 31, FALSE) / VLOOKUP("LULUCF|PM25|Premature mortality", US_national_yearly!$D:$AM, 10, FALSE), 1)</f>
        <v>2.3082190367014853E-5</v>
      </c>
      <c r="X2" s="7">
        <f>$B2 * IFERROR(VLOOKUP("LULUCF|PM25|Premature mortality", US_national_yearly!$D:$AM, 32, FALSE) / VLOOKUP("LULUCF|PM25|Premature mortality", US_national_yearly!$D:$AM, 10, FALSE), 1)</f>
        <v>2.3102899779571577E-5</v>
      </c>
      <c r="Y2" s="7">
        <f>$B2 * IFERROR(VLOOKUP("LULUCF|PM25|Premature mortality", US_national_yearly!$D:$AM, 33, FALSE) / VLOOKUP("LULUCF|PM25|Premature mortality", US_national_yearly!$D:$AM, 10, FALSE), 1)</f>
        <v>2.31236091921283E-5</v>
      </c>
      <c r="Z2" s="7">
        <f>$B2 * IFERROR(VLOOKUP("LULUCF|PM25|Premature mortality", US_national_yearly!$D:$AM, 34, FALSE) / VLOOKUP("LULUCF|PM25|Premature mortality", US_national_yearly!$D:$AM, 10, FALSE), 1)</f>
        <v>2.3144318604685024E-5</v>
      </c>
      <c r="AA2" s="7">
        <f>$B2 * IFERROR(VLOOKUP("LULUCF|PM25|Premature mortality", US_national_yearly!$D:$AM, 35, FALSE) / VLOOKUP("LULUCF|PM25|Premature mortality", US_national_yearly!$D:$AM, 10, FALSE), 1)</f>
        <v>2.3165028017241748E-5</v>
      </c>
      <c r="AB2" s="7">
        <f>$B2 * IFERROR(VLOOKUP("LULUCF|PM25|Premature mortality", US_national_yearly!$D:$AM, 36, FALSE) / VLOOKUP("LULUCF|PM25|Premature mortality", US_national_yearly!$D:$AM, 10, FALSE), 1)</f>
        <v>2.3185737429798472E-5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5.475678045248698E-8</v>
      </c>
      <c r="C3" s="7">
        <f>$B3 * IFERROR(VLOOKUP("LULUCF|PM25|Infant mortality", US_national_yearly!$D:$AM, 11, FALSE) / VLOOKUP("LULUCF|PM25|Infant mortality", US_national_yearly!$D:$AM, 10, FALSE), 1)</f>
        <v>5.4279351292859605E-8</v>
      </c>
      <c r="D3" s="7">
        <f>$B3 * IFERROR(VLOOKUP("LULUCF|PM25|Infant mortality", US_national_yearly!$D:$AM, 12, FALSE) / VLOOKUP("LULUCF|PM25|Infant mortality", US_national_yearly!$D:$AM, 10, FALSE), 1)</f>
        <v>5.3801922133232224E-8</v>
      </c>
      <c r="E3" s="7">
        <f>$B3 * IFERROR(VLOOKUP("LULUCF|PM25|Infant mortality", US_national_yearly!$D:$AM, 13, FALSE) / VLOOKUP("LULUCF|PM25|Infant mortality", US_national_yearly!$D:$AM, 10, FALSE), 1)</f>
        <v>5.3324492973604849E-8</v>
      </c>
      <c r="F3" s="7">
        <f>$B3 * IFERROR(VLOOKUP("LULUCF|PM25|Infant mortality", US_national_yearly!$D:$AM, 14, FALSE) / VLOOKUP("LULUCF|PM25|Infant mortality", US_national_yearly!$D:$AM, 10, FALSE), 1)</f>
        <v>5.284706381397746E-8</v>
      </c>
      <c r="G3" s="7">
        <f>$B3 * IFERROR(VLOOKUP("LULUCF|PM25|Infant mortality", US_national_yearly!$D:$AM, 15, FALSE) / VLOOKUP("LULUCF|PM25|Infant mortality", US_national_yearly!$D:$AM, 10, FALSE), 1)</f>
        <v>3.5146124329111716E-8</v>
      </c>
      <c r="H3" s="7">
        <f>$B3 * IFERROR(VLOOKUP("LULUCF|PM25|Infant mortality", US_national_yearly!$D:$AM, 16, FALSE) / VLOOKUP("LULUCF|PM25|Infant mortality", US_national_yearly!$D:$AM, 10, FALSE), 1)</f>
        <v>1.7445184844245958E-8</v>
      </c>
      <c r="I3" s="7">
        <f>$B3 * IFERROR(VLOOKUP("LULUCF|PM25|Infant mortality", US_national_yearly!$D:$AM, 17, FALSE) / VLOOKUP("LULUCF|PM25|Infant mortality", US_national_yearly!$D:$AM, 10, FALSE), 1)</f>
        <v>1.7331151744413337E-8</v>
      </c>
      <c r="J3" s="7">
        <f>$B3 * IFERROR(VLOOKUP("LULUCF|PM25|Infant mortality", US_national_yearly!$D:$AM, 18, FALSE) / VLOOKUP("LULUCF|PM25|Infant mortality", US_national_yearly!$D:$AM, 10, FALSE), 1)</f>
        <v>1.7217118644580716E-8</v>
      </c>
      <c r="K3" s="7">
        <f>$B3 * IFERROR(VLOOKUP("LULUCF|PM25|Infant mortality", US_national_yearly!$D:$AM, 19, FALSE) / VLOOKUP("LULUCF|PM25|Infant mortality", US_national_yearly!$D:$AM, 10, FALSE), 1)</f>
        <v>1.7103085544748096E-8</v>
      </c>
      <c r="L3" s="7">
        <f>$B3 * IFERROR(VLOOKUP("LULUCF|PM25|Infant mortality", US_national_yearly!$D:$AM, 20, FALSE) / VLOOKUP("LULUCF|PM25|Infant mortality", US_national_yearly!$D:$AM, 10, FALSE), 1)</f>
        <v>1.6989052444915475E-8</v>
      </c>
      <c r="M3" s="7">
        <f>$B3 * IFERROR(VLOOKUP("LULUCF|PM25|Infant mortality", US_national_yearly!$D:$AM, 21, FALSE) / VLOOKUP("LULUCF|PM25|Infant mortality", US_national_yearly!$D:$AM, 10, FALSE), 1)</f>
        <v>1.6875019345082857E-8</v>
      </c>
      <c r="N3" s="7">
        <f>$B3 * IFERROR(VLOOKUP("LULUCF|PM25|Infant mortality", US_national_yearly!$D:$AM, 22, FALSE) / VLOOKUP("LULUCF|PM25|Infant mortality", US_national_yearly!$D:$AM, 10, FALSE), 1)</f>
        <v>1.6803393933690835E-8</v>
      </c>
      <c r="O3" s="7">
        <f>$B3 * IFERROR(VLOOKUP("LULUCF|PM25|Infant mortality", US_national_yearly!$D:$AM, 23, FALSE) / VLOOKUP("LULUCF|PM25|Infant mortality", US_national_yearly!$D:$AM, 10, FALSE), 1)</f>
        <v>1.6731768522298815E-8</v>
      </c>
      <c r="P3" s="7">
        <f>$B3 * IFERROR(VLOOKUP("LULUCF|PM25|Infant mortality", US_national_yearly!$D:$AM, 24, FALSE) / VLOOKUP("LULUCF|PM25|Infant mortality", US_national_yearly!$D:$AM, 10, FALSE), 1)</f>
        <v>1.6660143110906793E-8</v>
      </c>
      <c r="Q3" s="7">
        <f>$B3 * IFERROR(VLOOKUP("LULUCF|PM25|Infant mortality", US_national_yearly!$D:$AM, 25, FALSE) / VLOOKUP("LULUCF|PM25|Infant mortality", US_national_yearly!$D:$AM, 10, FALSE), 1)</f>
        <v>1.6588517699514773E-8</v>
      </c>
      <c r="R3" s="7">
        <f>$B3 * IFERROR(VLOOKUP("LULUCF|PM25|Infant mortality", US_national_yearly!$D:$AM, 26, FALSE) / VLOOKUP("LULUCF|PM25|Infant mortality", US_national_yearly!$D:$AM, 10, FALSE), 1)</f>
        <v>1.6516892288122751E-8</v>
      </c>
      <c r="S3" s="7">
        <f>$B3 * IFERROR(VLOOKUP("LULUCF|PM25|Infant mortality", US_national_yearly!$D:$AM, 27, FALSE) / VLOOKUP("LULUCF|PM25|Infant mortality", US_national_yearly!$D:$AM, 10, FALSE), 1)</f>
        <v>1.6427609748326558E-8</v>
      </c>
      <c r="T3" s="7">
        <f>$B3 * IFERROR(VLOOKUP("LULUCF|PM25|Infant mortality", US_national_yearly!$D:$AM, 28, FALSE) / VLOOKUP("LULUCF|PM25|Infant mortality", US_national_yearly!$D:$AM, 10, FALSE), 1)</f>
        <v>1.6338327208530362E-8</v>
      </c>
      <c r="U3" s="7">
        <f>$B3 * IFERROR(VLOOKUP("LULUCF|PM25|Infant mortality", US_national_yearly!$D:$AM, 29, FALSE) / VLOOKUP("LULUCF|PM25|Infant mortality", US_national_yearly!$D:$AM, 10, FALSE), 1)</f>
        <v>1.6249044668734169E-8</v>
      </c>
      <c r="V3" s="7">
        <f>$B3 * IFERROR(VLOOKUP("LULUCF|PM25|Infant mortality", US_national_yearly!$D:$AM, 30, FALSE) / VLOOKUP("LULUCF|PM25|Infant mortality", US_national_yearly!$D:$AM, 10, FALSE), 1)</f>
        <v>1.6159762128937976E-8</v>
      </c>
      <c r="W3" s="7">
        <f>$B3 * IFERROR(VLOOKUP("LULUCF|PM25|Infant mortality", US_national_yearly!$D:$AM, 31, FALSE) / VLOOKUP("LULUCF|PM25|Infant mortality", US_national_yearly!$D:$AM, 10, FALSE), 1)</f>
        <v>1.607047958914178E-8</v>
      </c>
      <c r="X3" s="7">
        <f>$B3 * IFERROR(VLOOKUP("LULUCF|PM25|Infant mortality", US_national_yearly!$D:$AM, 32, FALSE) / VLOOKUP("LULUCF|PM25|Infant mortality", US_national_yearly!$D:$AM, 10, FALSE), 1)</f>
        <v>1.5974221789603517E-8</v>
      </c>
      <c r="Y3" s="7">
        <f>$B3 * IFERROR(VLOOKUP("LULUCF|PM25|Infant mortality", US_national_yearly!$D:$AM, 33, FALSE) / VLOOKUP("LULUCF|PM25|Infant mortality", US_national_yearly!$D:$AM, 10, FALSE), 1)</f>
        <v>1.5877963990065247E-8</v>
      </c>
      <c r="Z3" s="7">
        <f>$B3 * IFERROR(VLOOKUP("LULUCF|PM25|Infant mortality", US_national_yearly!$D:$AM, 34, FALSE) / VLOOKUP("LULUCF|PM25|Infant mortality", US_national_yearly!$D:$AM, 10, FALSE), 1)</f>
        <v>1.5781706190526983E-8</v>
      </c>
      <c r="AA3" s="7">
        <f>$B3 * IFERROR(VLOOKUP("LULUCF|PM25|Infant mortality", US_national_yearly!$D:$AM, 35, FALSE) / VLOOKUP("LULUCF|PM25|Infant mortality", US_national_yearly!$D:$AM, 10, FALSE), 1)</f>
        <v>1.5685448390988716E-8</v>
      </c>
      <c r="AB3" s="7">
        <f>$B3 * IFERROR(VLOOKUP("LULUCF|PM25|Infant mortality", US_national_yearly!$D:$AM, 36, FALSE) / VLOOKUP("LULUCF|PM25|Infant mortality", US_national_yearly!$D:$AM, 10, FALSE), 1)</f>
        <v>1.5589190591450452E-8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5.2382752640411123E-5</v>
      </c>
      <c r="C6" s="7">
        <f>$B6 * IFERROR(VLOOKUP("LULUCF|PM25|Asthma symptoms cough", US_national_yearly!$D:$AM, 11, FALSE) / VLOOKUP("LULUCF|PM25|Asthma symptoms cough", US_national_yearly!$D:$AM, 10, FALSE), 1)</f>
        <v>5.2382752640411123E-5</v>
      </c>
      <c r="D6" s="7">
        <f>$B6 * IFERROR(VLOOKUP("LULUCF|PM25|Asthma symptoms cough", US_national_yearly!$D:$AM, 12, FALSE) / VLOOKUP("LULUCF|PM25|Asthma symptoms cough", US_national_yearly!$D:$AM, 10, FALSE), 1)</f>
        <v>5.2382752640411123E-5</v>
      </c>
      <c r="E6" s="7">
        <f>$B6 * IFERROR(VLOOKUP("LULUCF|PM25|Asthma symptoms cough", US_national_yearly!$D:$AM, 13, FALSE) / VLOOKUP("LULUCF|PM25|Asthma symptoms cough", US_national_yearly!$D:$AM, 10, FALSE), 1)</f>
        <v>5.2382752640411123E-5</v>
      </c>
      <c r="F6" s="7">
        <f>$B6 * IFERROR(VLOOKUP("LULUCF|PM25|Asthma symptoms cough", US_national_yearly!$D:$AM, 14, FALSE) / VLOOKUP("LULUCF|PM25|Asthma symptoms cough", US_national_yearly!$D:$AM, 10, FALSE), 1)</f>
        <v>5.2382752640411123E-5</v>
      </c>
      <c r="G6" s="7">
        <f>$B6 * IFERROR(VLOOKUP("LULUCF|PM25|Asthma symptoms cough", US_national_yearly!$D:$AM, 15, FALSE) / VLOOKUP("LULUCF|PM25|Asthma symptoms cough", US_national_yearly!$D:$AM, 10, FALSE), 1)</f>
        <v>5.2382752640411123E-5</v>
      </c>
      <c r="H6" s="7">
        <f>$B6 * IFERROR(VLOOKUP("LULUCF|PM25|Asthma symptoms cough", US_national_yearly!$D:$AM, 16, FALSE) / VLOOKUP("LULUCF|PM25|Asthma symptoms cough", US_national_yearly!$D:$AM, 10, FALSE), 1)</f>
        <v>5.2382752640411123E-5</v>
      </c>
      <c r="I6" s="7">
        <f>$B6 * IFERROR(VLOOKUP("LULUCF|PM25|Asthma symptoms cough", US_national_yearly!$D:$AM, 17, FALSE) / VLOOKUP("LULUCF|PM25|Asthma symptoms cough", US_national_yearly!$D:$AM, 10, FALSE), 1)</f>
        <v>5.2382752640411123E-5</v>
      </c>
      <c r="J6" s="7">
        <f>$B6 * IFERROR(VLOOKUP("LULUCF|PM25|Asthma symptoms cough", US_national_yearly!$D:$AM, 18, FALSE) / VLOOKUP("LULUCF|PM25|Asthma symptoms cough", US_national_yearly!$D:$AM, 10, FALSE), 1)</f>
        <v>5.2382752640411123E-5</v>
      </c>
      <c r="K6" s="7">
        <f>$B6 * IFERROR(VLOOKUP("LULUCF|PM25|Asthma symptoms cough", US_national_yearly!$D:$AM, 19, FALSE) / VLOOKUP("LULUCF|PM25|Asthma symptoms cough", US_national_yearly!$D:$AM, 10, FALSE), 1)</f>
        <v>5.2382752640411123E-5</v>
      </c>
      <c r="L6" s="7">
        <f>$B6 * IFERROR(VLOOKUP("LULUCF|PM25|Asthma symptoms cough", US_national_yearly!$D:$AM, 20, FALSE) / VLOOKUP("LULUCF|PM25|Asthma symptoms cough", US_national_yearly!$D:$AM, 10, FALSE), 1)</f>
        <v>5.2382752640411123E-5</v>
      </c>
      <c r="M6" s="7">
        <f>$B6 * IFERROR(VLOOKUP("LULUCF|PM25|Asthma symptoms cough", US_national_yearly!$D:$AM, 21, FALSE) / VLOOKUP("LULUCF|PM25|Asthma symptoms cough", US_national_yearly!$D:$AM, 10, FALSE), 1)</f>
        <v>5.2382752640411123E-5</v>
      </c>
      <c r="N6" s="7">
        <f>$B6 * IFERROR(VLOOKUP("LULUCF|PM25|Asthma symptoms cough", US_national_yearly!$D:$AM, 22, FALSE) / VLOOKUP("LULUCF|PM25|Asthma symptoms cough", US_national_yearly!$D:$AM, 10, FALSE), 1)</f>
        <v>5.2382752640411123E-5</v>
      </c>
      <c r="O6" s="7">
        <f>$B6 * IFERROR(VLOOKUP("LULUCF|PM25|Asthma symptoms cough", US_national_yearly!$D:$AM, 23, FALSE) / VLOOKUP("LULUCF|PM25|Asthma symptoms cough", US_national_yearly!$D:$AM, 10, FALSE), 1)</f>
        <v>5.2382752640411123E-5</v>
      </c>
      <c r="P6" s="7">
        <f>$B6 * IFERROR(VLOOKUP("LULUCF|PM25|Asthma symptoms cough", US_national_yearly!$D:$AM, 24, FALSE) / VLOOKUP("LULUCF|PM25|Asthma symptoms cough", US_national_yearly!$D:$AM, 10, FALSE), 1)</f>
        <v>5.2382752640411123E-5</v>
      </c>
      <c r="Q6" s="7">
        <f>$B6 * IFERROR(VLOOKUP("LULUCF|PM25|Asthma symptoms cough", US_national_yearly!$D:$AM, 25, FALSE) / VLOOKUP("LULUCF|PM25|Asthma symptoms cough", US_national_yearly!$D:$AM, 10, FALSE), 1)</f>
        <v>5.2382752640411123E-5</v>
      </c>
      <c r="R6" s="7">
        <f>$B6 * IFERROR(VLOOKUP("LULUCF|PM25|Asthma symptoms cough", US_national_yearly!$D:$AM, 26, FALSE) / VLOOKUP("LULUCF|PM25|Asthma symptoms cough", US_national_yearly!$D:$AM, 10, FALSE), 1)</f>
        <v>5.2382752640411123E-5</v>
      </c>
      <c r="S6" s="7">
        <f>$B6 * IFERROR(VLOOKUP("LULUCF|PM25|Asthma symptoms cough", US_national_yearly!$D:$AM, 27, FALSE) / VLOOKUP("LULUCF|PM25|Asthma symptoms cough", US_national_yearly!$D:$AM, 10, FALSE), 1)</f>
        <v>5.2382752640411123E-5</v>
      </c>
      <c r="T6" s="7">
        <f>$B6 * IFERROR(VLOOKUP("LULUCF|PM25|Asthma symptoms cough", US_national_yearly!$D:$AM, 28, FALSE) / VLOOKUP("LULUCF|PM25|Asthma symptoms cough", US_national_yearly!$D:$AM, 10, FALSE), 1)</f>
        <v>5.2382752640411123E-5</v>
      </c>
      <c r="U6" s="7">
        <f>$B6 * IFERROR(VLOOKUP("LULUCF|PM25|Asthma symptoms cough", US_national_yearly!$D:$AM, 29, FALSE) / VLOOKUP("LULUCF|PM25|Asthma symptoms cough", US_national_yearly!$D:$AM, 10, FALSE), 1)</f>
        <v>5.2382752640411123E-5</v>
      </c>
      <c r="V6" s="7">
        <f>$B6 * IFERROR(VLOOKUP("LULUCF|PM25|Asthma symptoms cough", US_national_yearly!$D:$AM, 30, FALSE) / VLOOKUP("LULUCF|PM25|Asthma symptoms cough", US_national_yearly!$D:$AM, 10, FALSE), 1)</f>
        <v>5.2382752640411123E-5</v>
      </c>
      <c r="W6" s="7">
        <f>$B6 * IFERROR(VLOOKUP("LULUCF|PM25|Asthma symptoms cough", US_national_yearly!$D:$AM, 31, FALSE) / VLOOKUP("LULUCF|PM25|Asthma symptoms cough", US_national_yearly!$D:$AM, 10, FALSE), 1)</f>
        <v>5.2382752640411123E-5</v>
      </c>
      <c r="X6" s="7">
        <f>$B6 * IFERROR(VLOOKUP("LULUCF|PM25|Asthma symptoms cough", US_national_yearly!$D:$AM, 32, FALSE) / VLOOKUP("LULUCF|PM25|Asthma symptoms cough", US_national_yearly!$D:$AM, 10, FALSE), 1)</f>
        <v>5.2382752640411123E-5</v>
      </c>
      <c r="Y6" s="7">
        <f>$B6 * IFERROR(VLOOKUP("LULUCF|PM25|Asthma symptoms cough", US_national_yearly!$D:$AM, 33, FALSE) / VLOOKUP("LULUCF|PM25|Asthma symptoms cough", US_national_yearly!$D:$AM, 10, FALSE), 1)</f>
        <v>5.2382752640411123E-5</v>
      </c>
      <c r="Z6" s="7">
        <f>$B6 * IFERROR(VLOOKUP("LULUCF|PM25|Asthma symptoms cough", US_national_yearly!$D:$AM, 34, FALSE) / VLOOKUP("LULUCF|PM25|Asthma symptoms cough", US_national_yearly!$D:$AM, 10, FALSE), 1)</f>
        <v>5.2382752640411123E-5</v>
      </c>
      <c r="AA6" s="7">
        <f>$B6 * IFERROR(VLOOKUP("LULUCF|PM25|Asthma symptoms cough", US_national_yearly!$D:$AM, 35, FALSE) / VLOOKUP("LULUCF|PM25|Asthma symptoms cough", US_national_yearly!$D:$AM, 10, FALSE), 1)</f>
        <v>5.2382752640411123E-5</v>
      </c>
      <c r="AB6" s="7">
        <f>$B6 * IFERROR(VLOOKUP("LULUCF|PM25|Asthma symptoms cough", US_national_yearly!$D:$AM, 36, FALSE) / VLOOKUP("LULUCF|PM25|Asthma symptoms cough", US_national_yearly!$D:$AM, 10, FALSE), 1)</f>
        <v>5.2382752640411123E-5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7.0540973223876175E-5</v>
      </c>
      <c r="C7" s="7">
        <f>$B7 * IFERROR(VLOOKUP("LULUCF|PM25|Asthma symptoms shortness of breath", US_national_yearly!$D:$AM, 11, FALSE) / VLOOKUP("LULUCF|PM25|Asthma symptoms shortness of breath", US_national_yearly!$D:$AM, 10, FALSE), 1)</f>
        <v>7.0540973223876175E-5</v>
      </c>
      <c r="D7" s="7">
        <f>$B7 * IFERROR(VLOOKUP("LULUCF|PM25|Asthma symptoms shortness of breath", US_national_yearly!$D:$AM, 12, FALSE) / VLOOKUP("LULUCF|PM25|Asthma symptoms shortness of breath", US_national_yearly!$D:$AM, 10, FALSE), 1)</f>
        <v>7.0540973223876175E-5</v>
      </c>
      <c r="E7" s="7">
        <f>$B7 * IFERROR(VLOOKUP("LULUCF|PM25|Asthma symptoms shortness of breath", US_national_yearly!$D:$AM, 13, FALSE) / VLOOKUP("LULUCF|PM25|Asthma symptoms shortness of breath", US_national_yearly!$D:$AM, 10, FALSE), 1)</f>
        <v>7.0540973223876175E-5</v>
      </c>
      <c r="F7" s="7">
        <f>$B7 * IFERROR(VLOOKUP("LULUCF|PM25|Asthma symptoms shortness of breath", US_national_yearly!$D:$AM, 14, FALSE) / VLOOKUP("LULUCF|PM25|Asthma symptoms shortness of breath", US_national_yearly!$D:$AM, 10, FALSE), 1)</f>
        <v>7.0540973223876175E-5</v>
      </c>
      <c r="G7" s="7">
        <f>$B7 * IFERROR(VLOOKUP("LULUCF|PM25|Asthma symptoms shortness of breath", US_national_yearly!$D:$AM, 15, FALSE) / VLOOKUP("LULUCF|PM25|Asthma symptoms shortness of breath", US_national_yearly!$D:$AM, 10, FALSE), 1)</f>
        <v>7.0540973223876175E-5</v>
      </c>
      <c r="H7" s="7">
        <f>$B7 * IFERROR(VLOOKUP("LULUCF|PM25|Asthma symptoms shortness of breath", US_national_yearly!$D:$AM, 16, FALSE) / VLOOKUP("LULUCF|PM25|Asthma symptoms shortness of breath", US_national_yearly!$D:$AM, 10, FALSE), 1)</f>
        <v>7.0540973223876175E-5</v>
      </c>
      <c r="I7" s="7">
        <f>$B7 * IFERROR(VLOOKUP("LULUCF|PM25|Asthma symptoms shortness of breath", US_national_yearly!$D:$AM, 17, FALSE) / VLOOKUP("LULUCF|PM25|Asthma symptoms shortness of breath", US_national_yearly!$D:$AM, 10, FALSE), 1)</f>
        <v>7.0540973223876175E-5</v>
      </c>
      <c r="J7" s="7">
        <f>$B7 * IFERROR(VLOOKUP("LULUCF|PM25|Asthma symptoms shortness of breath", US_national_yearly!$D:$AM, 18, FALSE) / VLOOKUP("LULUCF|PM25|Asthma symptoms shortness of breath", US_national_yearly!$D:$AM, 10, FALSE), 1)</f>
        <v>7.0540973223876175E-5</v>
      </c>
      <c r="K7" s="7">
        <f>$B7 * IFERROR(VLOOKUP("LULUCF|PM25|Asthma symptoms shortness of breath", US_national_yearly!$D:$AM, 19, FALSE) / VLOOKUP("LULUCF|PM25|Asthma symptoms shortness of breath", US_national_yearly!$D:$AM, 10, FALSE), 1)</f>
        <v>7.0540973223876175E-5</v>
      </c>
      <c r="L7" s="7">
        <f>$B7 * IFERROR(VLOOKUP("LULUCF|PM25|Asthma symptoms shortness of breath", US_national_yearly!$D:$AM, 20, FALSE) / VLOOKUP("LULUCF|PM25|Asthma symptoms shortness of breath", US_national_yearly!$D:$AM, 10, FALSE), 1)</f>
        <v>7.0540973223876175E-5</v>
      </c>
      <c r="M7" s="7">
        <f>$B7 * IFERROR(VLOOKUP("LULUCF|PM25|Asthma symptoms shortness of breath", US_national_yearly!$D:$AM, 21, FALSE) / VLOOKUP("LULUCF|PM25|Asthma symptoms shortness of breath", US_national_yearly!$D:$AM, 10, FALSE), 1)</f>
        <v>7.0540973223876175E-5</v>
      </c>
      <c r="N7" s="7">
        <f>$B7 * IFERROR(VLOOKUP("LULUCF|PM25|Asthma symptoms shortness of breath", US_national_yearly!$D:$AM, 22, FALSE) / VLOOKUP("LULUCF|PM25|Asthma symptoms shortness of breath", US_national_yearly!$D:$AM, 10, FALSE), 1)</f>
        <v>7.0540973223876175E-5</v>
      </c>
      <c r="O7" s="7">
        <f>$B7 * IFERROR(VLOOKUP("LULUCF|PM25|Asthma symptoms shortness of breath", US_national_yearly!$D:$AM, 23, FALSE) / VLOOKUP("LULUCF|PM25|Asthma symptoms shortness of breath", US_national_yearly!$D:$AM, 10, FALSE), 1)</f>
        <v>7.0540973223876175E-5</v>
      </c>
      <c r="P7" s="7">
        <f>$B7 * IFERROR(VLOOKUP("LULUCF|PM25|Asthma symptoms shortness of breath", US_national_yearly!$D:$AM, 24, FALSE) / VLOOKUP("LULUCF|PM25|Asthma symptoms shortness of breath", US_national_yearly!$D:$AM, 10, FALSE), 1)</f>
        <v>7.0540973223876175E-5</v>
      </c>
      <c r="Q7" s="7">
        <f>$B7 * IFERROR(VLOOKUP("LULUCF|PM25|Asthma symptoms shortness of breath", US_national_yearly!$D:$AM, 25, FALSE) / VLOOKUP("LULUCF|PM25|Asthma symptoms shortness of breath", US_national_yearly!$D:$AM, 10, FALSE), 1)</f>
        <v>7.0540973223876175E-5</v>
      </c>
      <c r="R7" s="7">
        <f>$B7 * IFERROR(VLOOKUP("LULUCF|PM25|Asthma symptoms shortness of breath", US_national_yearly!$D:$AM, 26, FALSE) / VLOOKUP("LULUCF|PM25|Asthma symptoms shortness of breath", US_national_yearly!$D:$AM, 10, FALSE), 1)</f>
        <v>7.0540973223876175E-5</v>
      </c>
      <c r="S7" s="7">
        <f>$B7 * IFERROR(VLOOKUP("LULUCF|PM25|Asthma symptoms shortness of breath", US_national_yearly!$D:$AM, 27, FALSE) / VLOOKUP("LULUCF|PM25|Asthma symptoms shortness of breath", US_national_yearly!$D:$AM, 10, FALSE), 1)</f>
        <v>7.0540973223876175E-5</v>
      </c>
      <c r="T7" s="7">
        <f>$B7 * IFERROR(VLOOKUP("LULUCF|PM25|Asthma symptoms shortness of breath", US_national_yearly!$D:$AM, 28, FALSE) / VLOOKUP("LULUCF|PM25|Asthma symptoms shortness of breath", US_national_yearly!$D:$AM, 10, FALSE), 1)</f>
        <v>7.0540973223876175E-5</v>
      </c>
      <c r="U7" s="7">
        <f>$B7 * IFERROR(VLOOKUP("LULUCF|PM25|Asthma symptoms shortness of breath", US_national_yearly!$D:$AM, 29, FALSE) / VLOOKUP("LULUCF|PM25|Asthma symptoms shortness of breath", US_national_yearly!$D:$AM, 10, FALSE), 1)</f>
        <v>7.0540973223876175E-5</v>
      </c>
      <c r="V7" s="7">
        <f>$B7 * IFERROR(VLOOKUP("LULUCF|PM25|Asthma symptoms shortness of breath", US_national_yearly!$D:$AM, 30, FALSE) / VLOOKUP("LULUCF|PM25|Asthma symptoms shortness of breath", US_national_yearly!$D:$AM, 10, FALSE), 1)</f>
        <v>7.0540973223876175E-5</v>
      </c>
      <c r="W7" s="7">
        <f>$B7 * IFERROR(VLOOKUP("LULUCF|PM25|Asthma symptoms shortness of breath", US_national_yearly!$D:$AM, 31, FALSE) / VLOOKUP("LULUCF|PM25|Asthma symptoms shortness of breath", US_national_yearly!$D:$AM, 10, FALSE), 1)</f>
        <v>7.0540973223876175E-5</v>
      </c>
      <c r="X7" s="7">
        <f>$B7 * IFERROR(VLOOKUP("LULUCF|PM25|Asthma symptoms shortness of breath", US_national_yearly!$D:$AM, 32, FALSE) / VLOOKUP("LULUCF|PM25|Asthma symptoms shortness of breath", US_national_yearly!$D:$AM, 10, FALSE), 1)</f>
        <v>7.0540973223876175E-5</v>
      </c>
      <c r="Y7" s="7">
        <f>$B7 * IFERROR(VLOOKUP("LULUCF|PM25|Asthma symptoms shortness of breath", US_national_yearly!$D:$AM, 33, FALSE) / VLOOKUP("LULUCF|PM25|Asthma symptoms shortness of breath", US_national_yearly!$D:$AM, 10, FALSE), 1)</f>
        <v>7.0540973223876175E-5</v>
      </c>
      <c r="Z7" s="7">
        <f>$B7 * IFERROR(VLOOKUP("LULUCF|PM25|Asthma symptoms shortness of breath", US_national_yearly!$D:$AM, 34, FALSE) / VLOOKUP("LULUCF|PM25|Asthma symptoms shortness of breath", US_national_yearly!$D:$AM, 10, FALSE), 1)</f>
        <v>7.0540973223876175E-5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7.0540973223876175E-5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7.0540973223876175E-5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1.0777466669670089E-4</v>
      </c>
      <c r="C8" s="7">
        <f>$B8 * IFERROR(VLOOKUP("LULUCF|PM25|Asthma symptoms wheeze", US_national_yearly!$D:$AM, 11, FALSE) / VLOOKUP("LULUCF|PM25|Asthma symptoms wheeze", US_national_yearly!$D:$AM, 10, FALSE), 1)</f>
        <v>1.0777466669670089E-4</v>
      </c>
      <c r="D8" s="7">
        <f>$B8 * IFERROR(VLOOKUP("LULUCF|PM25|Asthma symptoms wheeze", US_national_yearly!$D:$AM, 12, FALSE) / VLOOKUP("LULUCF|PM25|Asthma symptoms wheeze", US_national_yearly!$D:$AM, 10, FALSE), 1)</f>
        <v>1.0777466669670089E-4</v>
      </c>
      <c r="E8" s="7">
        <f>$B8 * IFERROR(VLOOKUP("LULUCF|PM25|Asthma symptoms wheeze", US_national_yearly!$D:$AM, 13, FALSE) / VLOOKUP("LULUCF|PM25|Asthma symptoms wheeze", US_national_yearly!$D:$AM, 10, FALSE), 1)</f>
        <v>1.0777466669670089E-4</v>
      </c>
      <c r="F8" s="7">
        <f>$B8 * IFERROR(VLOOKUP("LULUCF|PM25|Asthma symptoms wheeze", US_national_yearly!$D:$AM, 14, FALSE) / VLOOKUP("LULUCF|PM25|Asthma symptoms wheeze", US_national_yearly!$D:$AM, 10, FALSE), 1)</f>
        <v>1.0777466669670089E-4</v>
      </c>
      <c r="G8" s="7">
        <f>$B8 * IFERROR(VLOOKUP("LULUCF|PM25|Asthma symptoms wheeze", US_national_yearly!$D:$AM, 15, FALSE) / VLOOKUP("LULUCF|PM25|Asthma symptoms wheeze", US_national_yearly!$D:$AM, 10, FALSE), 1)</f>
        <v>1.0777466669670089E-4</v>
      </c>
      <c r="H8" s="7">
        <f>$B8 * IFERROR(VLOOKUP("LULUCF|PM25|Asthma symptoms wheeze", US_national_yearly!$D:$AM, 16, FALSE) / VLOOKUP("LULUCF|PM25|Asthma symptoms wheeze", US_national_yearly!$D:$AM, 10, FALSE), 1)</f>
        <v>1.0777466669670089E-4</v>
      </c>
      <c r="I8" s="7">
        <f>$B8 * IFERROR(VLOOKUP("LULUCF|PM25|Asthma symptoms wheeze", US_national_yearly!$D:$AM, 17, FALSE) / VLOOKUP("LULUCF|PM25|Asthma symptoms wheeze", US_national_yearly!$D:$AM, 10, FALSE), 1)</f>
        <v>1.0777466669670089E-4</v>
      </c>
      <c r="J8" s="7">
        <f>$B8 * IFERROR(VLOOKUP("LULUCF|PM25|Asthma symptoms wheeze", US_national_yearly!$D:$AM, 18, FALSE) / VLOOKUP("LULUCF|PM25|Asthma symptoms wheeze", US_national_yearly!$D:$AM, 10, FALSE), 1)</f>
        <v>1.0777466669670089E-4</v>
      </c>
      <c r="K8" s="7">
        <f>$B8 * IFERROR(VLOOKUP("LULUCF|PM25|Asthma symptoms wheeze", US_national_yearly!$D:$AM, 19, FALSE) / VLOOKUP("LULUCF|PM25|Asthma symptoms wheeze", US_national_yearly!$D:$AM, 10, FALSE), 1)</f>
        <v>1.0777466669670089E-4</v>
      </c>
      <c r="L8" s="7">
        <f>$B8 * IFERROR(VLOOKUP("LULUCF|PM25|Asthma symptoms wheeze", US_national_yearly!$D:$AM, 20, FALSE) / VLOOKUP("LULUCF|PM25|Asthma symptoms wheeze", US_national_yearly!$D:$AM, 10, FALSE), 1)</f>
        <v>1.0777466669670089E-4</v>
      </c>
      <c r="M8" s="7">
        <f>$B8 * IFERROR(VLOOKUP("LULUCF|PM25|Asthma symptoms wheeze", US_national_yearly!$D:$AM, 21, FALSE) / VLOOKUP("LULUCF|PM25|Asthma symptoms wheeze", US_national_yearly!$D:$AM, 10, FALSE), 1)</f>
        <v>1.0777466669670089E-4</v>
      </c>
      <c r="N8" s="7">
        <f>$B8 * IFERROR(VLOOKUP("LULUCF|PM25|Asthma symptoms wheeze", US_national_yearly!$D:$AM, 22, FALSE) / VLOOKUP("LULUCF|PM25|Asthma symptoms wheeze", US_national_yearly!$D:$AM, 10, FALSE), 1)</f>
        <v>1.0777466669670089E-4</v>
      </c>
      <c r="O8" s="7">
        <f>$B8 * IFERROR(VLOOKUP("LULUCF|PM25|Asthma symptoms wheeze", US_national_yearly!$D:$AM, 23, FALSE) / VLOOKUP("LULUCF|PM25|Asthma symptoms wheeze", US_national_yearly!$D:$AM, 10, FALSE), 1)</f>
        <v>1.0777466669670089E-4</v>
      </c>
      <c r="P8" s="7">
        <f>$B8 * IFERROR(VLOOKUP("LULUCF|PM25|Asthma symptoms wheeze", US_national_yearly!$D:$AM, 24, FALSE) / VLOOKUP("LULUCF|PM25|Asthma symptoms wheeze", US_national_yearly!$D:$AM, 10, FALSE), 1)</f>
        <v>1.0777466669670089E-4</v>
      </c>
      <c r="Q8" s="7">
        <f>$B8 * IFERROR(VLOOKUP("LULUCF|PM25|Asthma symptoms wheeze", US_national_yearly!$D:$AM, 25, FALSE) / VLOOKUP("LULUCF|PM25|Asthma symptoms wheeze", US_national_yearly!$D:$AM, 10, FALSE), 1)</f>
        <v>1.0777466669670089E-4</v>
      </c>
      <c r="R8" s="7">
        <f>$B8 * IFERROR(VLOOKUP("LULUCF|PM25|Asthma symptoms wheeze", US_national_yearly!$D:$AM, 26, FALSE) / VLOOKUP("LULUCF|PM25|Asthma symptoms wheeze", US_national_yearly!$D:$AM, 10, FALSE), 1)</f>
        <v>1.0777466669670089E-4</v>
      </c>
      <c r="S8" s="7">
        <f>$B8 * IFERROR(VLOOKUP("LULUCF|PM25|Asthma symptoms wheeze", US_national_yearly!$D:$AM, 27, FALSE) / VLOOKUP("LULUCF|PM25|Asthma symptoms wheeze", US_national_yearly!$D:$AM, 10, FALSE), 1)</f>
        <v>1.0777466669670089E-4</v>
      </c>
      <c r="T8" s="7">
        <f>$B8 * IFERROR(VLOOKUP("LULUCF|PM25|Asthma symptoms wheeze", US_national_yearly!$D:$AM, 28, FALSE) / VLOOKUP("LULUCF|PM25|Asthma symptoms wheeze", US_national_yearly!$D:$AM, 10, FALSE), 1)</f>
        <v>1.0777466669670089E-4</v>
      </c>
      <c r="U8" s="7">
        <f>$B8 * IFERROR(VLOOKUP("LULUCF|PM25|Asthma symptoms wheeze", US_national_yearly!$D:$AM, 29, FALSE) / VLOOKUP("LULUCF|PM25|Asthma symptoms wheeze", US_national_yearly!$D:$AM, 10, FALSE), 1)</f>
        <v>1.0777466669670089E-4</v>
      </c>
      <c r="V8" s="7">
        <f>$B8 * IFERROR(VLOOKUP("LULUCF|PM25|Asthma symptoms wheeze", US_national_yearly!$D:$AM, 30, FALSE) / VLOOKUP("LULUCF|PM25|Asthma symptoms wheeze", US_national_yearly!$D:$AM, 10, FALSE), 1)</f>
        <v>1.0777466669670089E-4</v>
      </c>
      <c r="W8" s="7">
        <f>$B8 * IFERROR(VLOOKUP("LULUCF|PM25|Asthma symptoms wheeze", US_national_yearly!$D:$AM, 31, FALSE) / VLOOKUP("LULUCF|PM25|Asthma symptoms wheeze", US_national_yearly!$D:$AM, 10, FALSE), 1)</f>
        <v>1.0777466669670089E-4</v>
      </c>
      <c r="X8" s="7">
        <f>$B8 * IFERROR(VLOOKUP("LULUCF|PM25|Asthma symptoms wheeze", US_national_yearly!$D:$AM, 32, FALSE) / VLOOKUP("LULUCF|PM25|Asthma symptoms wheeze", US_national_yearly!$D:$AM, 10, FALSE), 1)</f>
        <v>1.0777466669670089E-4</v>
      </c>
      <c r="Y8" s="7">
        <f>$B8 * IFERROR(VLOOKUP("LULUCF|PM25|Asthma symptoms wheeze", US_national_yearly!$D:$AM, 33, FALSE) / VLOOKUP("LULUCF|PM25|Asthma symptoms wheeze", US_national_yearly!$D:$AM, 10, FALSE), 1)</f>
        <v>1.0777466669670089E-4</v>
      </c>
      <c r="Z8" s="7">
        <f>$B8 * IFERROR(VLOOKUP("LULUCF|PM25|Asthma symptoms wheeze", US_national_yearly!$D:$AM, 34, FALSE) / VLOOKUP("LULUCF|PM25|Asthma symptoms wheeze", US_national_yearly!$D:$AM, 10, FALSE), 1)</f>
        <v>1.0777466669670089E-4</v>
      </c>
      <c r="AA8" s="7">
        <f>$B8 * IFERROR(VLOOKUP("LULUCF|PM25|Asthma symptoms wheeze", US_national_yearly!$D:$AM, 35, FALSE) / VLOOKUP("LULUCF|PM25|Asthma symptoms wheeze", US_national_yearly!$D:$AM, 10, FALSE), 1)</f>
        <v>1.0777466669670089E-4</v>
      </c>
      <c r="AB8" s="7">
        <f>$B8 * IFERROR(VLOOKUP("LULUCF|PM25|Asthma symptoms wheeze", US_national_yearly!$D:$AM, 36, FALSE) / VLOOKUP("LULUCF|PM25|Asthma symptoms wheeze", US_national_yearly!$D:$AM, 10, FALSE), 1)</f>
        <v>1.0777466669670089E-4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1.382502795067895E-6</v>
      </c>
      <c r="C12" s="7">
        <f>$B12 * IFERROR(VLOOKUP("LULUCF|PM25|Respiratory hospital admissions", US_national_yearly!$D:$AM, 11, FALSE) / VLOOKUP("LULUCF|PM25|Respiratory hospital admissions", US_national_yearly!$D:$AM, 10, FALSE), 1)</f>
        <v>1.3904267438618609E-6</v>
      </c>
      <c r="D12" s="7">
        <f>$B12 * IFERROR(VLOOKUP("LULUCF|PM25|Respiratory hospital admissions", US_national_yearly!$D:$AM, 12, FALSE) / VLOOKUP("LULUCF|PM25|Respiratory hospital admissions", US_national_yearly!$D:$AM, 10, FALSE), 1)</f>
        <v>1.3983506926558264E-6</v>
      </c>
      <c r="E12" s="7">
        <f>$B12 * IFERROR(VLOOKUP("LULUCF|PM25|Respiratory hospital admissions", US_national_yearly!$D:$AM, 13, FALSE) / VLOOKUP("LULUCF|PM25|Respiratory hospital admissions", US_national_yearly!$D:$AM, 10, FALSE), 1)</f>
        <v>1.4062746414497923E-6</v>
      </c>
      <c r="F12" s="7">
        <f>$B12 * IFERROR(VLOOKUP("LULUCF|PM25|Respiratory hospital admissions", US_national_yearly!$D:$AM, 14, FALSE) / VLOOKUP("LULUCF|PM25|Respiratory hospital admissions", US_national_yearly!$D:$AM, 10, FALSE), 1)</f>
        <v>1.414198590243758E-6</v>
      </c>
      <c r="G12" s="7">
        <f>$B12 * IFERROR(VLOOKUP("LULUCF|PM25|Respiratory hospital admissions", US_national_yearly!$D:$AM, 15, FALSE) / VLOOKUP("LULUCF|PM25|Respiratory hospital admissions", US_national_yearly!$D:$AM, 10, FALSE), 1)</f>
        <v>1.4227567929394613E-6</v>
      </c>
      <c r="H12" s="7">
        <f>$B12 * IFERROR(VLOOKUP("LULUCF|PM25|Respiratory hospital admissions", US_national_yearly!$D:$AM, 16, FALSE) / VLOOKUP("LULUCF|PM25|Respiratory hospital admissions", US_national_yearly!$D:$AM, 10, FALSE), 1)</f>
        <v>1.4313149956351644E-6</v>
      </c>
      <c r="I12" s="7">
        <f>$B12 * IFERROR(VLOOKUP("LULUCF|PM25|Respiratory hospital admissions", US_national_yearly!$D:$AM, 17, FALSE) / VLOOKUP("LULUCF|PM25|Respiratory hospital admissions", US_national_yearly!$D:$AM, 10, FALSE), 1)</f>
        <v>1.4394920331547323E-6</v>
      </c>
      <c r="J12" s="7">
        <f>$B12 * IFERROR(VLOOKUP("LULUCF|PM25|Respiratory hospital admissions", US_national_yearly!$D:$AM, 18, FALSE) / VLOOKUP("LULUCF|PM25|Respiratory hospital admissions", US_national_yearly!$D:$AM, 10, FALSE), 1)</f>
        <v>1.4476690706743006E-6</v>
      </c>
      <c r="K12" s="7">
        <f>$B12 * IFERROR(VLOOKUP("LULUCF|PM25|Respiratory hospital admissions", US_national_yearly!$D:$AM, 19, FALSE) / VLOOKUP("LULUCF|PM25|Respiratory hospital admissions", US_national_yearly!$D:$AM, 10, FALSE), 1)</f>
        <v>1.4558461081938688E-6</v>
      </c>
      <c r="L12" s="7">
        <f>$B12 * IFERROR(VLOOKUP("LULUCF|PM25|Respiratory hospital admissions", US_national_yearly!$D:$AM, 20, FALSE) / VLOOKUP("LULUCF|PM25|Respiratory hospital admissions", US_national_yearly!$D:$AM, 10, FALSE), 1)</f>
        <v>1.4640231457134373E-6</v>
      </c>
      <c r="M12" s="7">
        <f>$B12 * IFERROR(VLOOKUP("LULUCF|PM25|Respiratory hospital admissions", US_national_yearly!$D:$AM, 21, FALSE) / VLOOKUP("LULUCF|PM25|Respiratory hospital admissions", US_national_yearly!$D:$AM, 10, FALSE), 1)</f>
        <v>1.4722001832330052E-6</v>
      </c>
      <c r="N12" s="7">
        <f>$B12 * IFERROR(VLOOKUP("LULUCF|PM25|Respiratory hospital admissions", US_national_yearly!$D:$AM, 22, FALSE) / VLOOKUP("LULUCF|PM25|Respiratory hospital admissions", US_national_yearly!$D:$AM, 10, FALSE), 1)</f>
        <v>1.47806908168171E-6</v>
      </c>
      <c r="O12" s="7">
        <f>$B12 * IFERROR(VLOOKUP("LULUCF|PM25|Respiratory hospital admissions", US_national_yearly!$D:$AM, 23, FALSE) / VLOOKUP("LULUCF|PM25|Respiratory hospital admissions", US_national_yearly!$D:$AM, 10, FALSE), 1)</f>
        <v>1.4839379801304145E-6</v>
      </c>
      <c r="P12" s="7">
        <f>$B12 * IFERROR(VLOOKUP("LULUCF|PM25|Respiratory hospital admissions", US_national_yearly!$D:$AM, 24, FALSE) / VLOOKUP("LULUCF|PM25|Respiratory hospital admissions", US_national_yearly!$D:$AM, 10, FALSE), 1)</f>
        <v>1.4898068785791188E-6</v>
      </c>
      <c r="Q12" s="7">
        <f>$B12 * IFERROR(VLOOKUP("LULUCF|PM25|Respiratory hospital admissions", US_national_yearly!$D:$AM, 25, FALSE) / VLOOKUP("LULUCF|PM25|Respiratory hospital admissions", US_national_yearly!$D:$AM, 10, FALSE), 1)</f>
        <v>1.4956757770278234E-6</v>
      </c>
      <c r="R12" s="7">
        <f>$B12 * IFERROR(VLOOKUP("LULUCF|PM25|Respiratory hospital admissions", US_national_yearly!$D:$AM, 26, FALSE) / VLOOKUP("LULUCF|PM25|Respiratory hospital admissions", US_national_yearly!$D:$AM, 10, FALSE), 1)</f>
        <v>1.5015446754765284E-6</v>
      </c>
      <c r="S12" s="7">
        <f>$B12 * IFERROR(VLOOKUP("LULUCF|PM25|Respiratory hospital admissions", US_national_yearly!$D:$AM, 27, FALSE) / VLOOKUP("LULUCF|PM25|Respiratory hospital admissions", US_national_yearly!$D:$AM, 10, FALSE), 1)</f>
        <v>1.5071326401319436E-6</v>
      </c>
      <c r="T12" s="7">
        <f>$B12 * IFERROR(VLOOKUP("LULUCF|PM25|Respiratory hospital admissions", US_national_yearly!$D:$AM, 28, FALSE) / VLOOKUP("LULUCF|PM25|Respiratory hospital admissions", US_national_yearly!$D:$AM, 10, FALSE), 1)</f>
        <v>1.512720604787359E-6</v>
      </c>
      <c r="U12" s="7">
        <f>$B12 * IFERROR(VLOOKUP("LULUCF|PM25|Respiratory hospital admissions", US_national_yearly!$D:$AM, 29, FALSE) / VLOOKUP("LULUCF|PM25|Respiratory hospital admissions", US_national_yearly!$D:$AM, 10, FALSE), 1)</f>
        <v>1.5183085694427742E-6</v>
      </c>
      <c r="V12" s="7">
        <f>$B12 * IFERROR(VLOOKUP("LULUCF|PM25|Respiratory hospital admissions", US_national_yearly!$D:$AM, 30, FALSE) / VLOOKUP("LULUCF|PM25|Respiratory hospital admissions", US_national_yearly!$D:$AM, 10, FALSE), 1)</f>
        <v>1.5238965340981894E-6</v>
      </c>
      <c r="W12" s="7">
        <f>$B12 * IFERROR(VLOOKUP("LULUCF|PM25|Respiratory hospital admissions", US_national_yearly!$D:$AM, 31, FALSE) / VLOOKUP("LULUCF|PM25|Respiratory hospital admissions", US_national_yearly!$D:$AM, 10, FALSE), 1)</f>
        <v>1.5294844987536046E-6</v>
      </c>
      <c r="X12" s="7">
        <f>$B12 * IFERROR(VLOOKUP("LULUCF|PM25|Respiratory hospital admissions", US_national_yearly!$D:$AM, 32, FALSE) / VLOOKUP("LULUCF|PM25|Respiratory hospital admissions", US_national_yearly!$D:$AM, 10, FALSE), 1)</f>
        <v>1.5348601920331424E-6</v>
      </c>
      <c r="Y12" s="7">
        <f>$B12 * IFERROR(VLOOKUP("LULUCF|PM25|Respiratory hospital admissions", US_national_yearly!$D:$AM, 33, FALSE) / VLOOKUP("LULUCF|PM25|Respiratory hospital admissions", US_national_yearly!$D:$AM, 10, FALSE), 1)</f>
        <v>1.5402358853126794E-6</v>
      </c>
      <c r="Z12" s="7">
        <f>$B12 * IFERROR(VLOOKUP("LULUCF|PM25|Respiratory hospital admissions", US_national_yearly!$D:$AM, 34, FALSE) / VLOOKUP("LULUCF|PM25|Respiratory hospital admissions", US_national_yearly!$D:$AM, 10, FALSE), 1)</f>
        <v>1.5456115785922166E-6</v>
      </c>
      <c r="AA12" s="7">
        <f>$B12 * IFERROR(VLOOKUP("LULUCF|PM25|Respiratory hospital admissions", US_national_yearly!$D:$AM, 35, FALSE) / VLOOKUP("LULUCF|PM25|Respiratory hospital admissions", US_national_yearly!$D:$AM, 10, FALSE), 1)</f>
        <v>1.5509872718717535E-6</v>
      </c>
      <c r="AB12" s="7">
        <f>$B12 * IFERROR(VLOOKUP("LULUCF|PM25|Respiratory hospital admissions", US_national_yearly!$D:$AM, 36, FALSE) / VLOOKUP("LULUCF|PM25|Respiratory hospital admissions", US_national_yearly!$D:$AM, 10, FALSE), 1)</f>
        <v>1.5563629651512909E-6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5.8631682543534383E-6</v>
      </c>
      <c r="C13" s="7">
        <f>$B13 * IFERROR(VLOOKUP("LULUCF|PM25|Non-fatal heart attacks", US_national_yearly!$D:$AM, 11, FALSE) / VLOOKUP("LULUCF|PM25|Non-fatal heart attacks", US_national_yearly!$D:$AM, 10, FALSE), 1)</f>
        <v>6.0336261145753054E-6</v>
      </c>
      <c r="D13" s="7">
        <f>$B13 * IFERROR(VLOOKUP("LULUCF|PM25|Non-fatal heart attacks", US_national_yearly!$D:$AM, 12, FALSE) / VLOOKUP("LULUCF|PM25|Non-fatal heart attacks", US_national_yearly!$D:$AM, 10, FALSE), 1)</f>
        <v>6.2040839747971725E-6</v>
      </c>
      <c r="E13" s="7">
        <f>$B13 * IFERROR(VLOOKUP("LULUCF|PM25|Non-fatal heart attacks", US_national_yearly!$D:$AM, 13, FALSE) / VLOOKUP("LULUCF|PM25|Non-fatal heart attacks", US_national_yearly!$D:$AM, 10, FALSE), 1)</f>
        <v>6.3745418350190387E-6</v>
      </c>
      <c r="F13" s="7">
        <f>$B13 * IFERROR(VLOOKUP("LULUCF|PM25|Non-fatal heart attacks", US_national_yearly!$D:$AM, 14, FALSE) / VLOOKUP("LULUCF|PM25|Non-fatal heart attacks", US_national_yearly!$D:$AM, 10, FALSE), 1)</f>
        <v>6.5449996952409075E-6</v>
      </c>
      <c r="G13" s="7">
        <f>$B13 * IFERROR(VLOOKUP("LULUCF|PM25|Non-fatal heart attacks", US_national_yearly!$D:$AM, 15, FALSE) / VLOOKUP("LULUCF|PM25|Non-fatal heart attacks", US_national_yearly!$D:$AM, 10, FALSE), 1)</f>
        <v>6.7057522335671327E-6</v>
      </c>
      <c r="H13" s="7">
        <f>$B13 * IFERROR(VLOOKUP("LULUCF|PM25|Non-fatal heart attacks", US_national_yearly!$D:$AM, 16, FALSE) / VLOOKUP("LULUCF|PM25|Non-fatal heart attacks", US_national_yearly!$D:$AM, 10, FALSE), 1)</f>
        <v>6.866504771893357E-6</v>
      </c>
      <c r="I13" s="7">
        <f>$B13 * IFERROR(VLOOKUP("LULUCF|PM25|Non-fatal heart attacks", US_national_yearly!$D:$AM, 17, FALSE) / VLOOKUP("LULUCF|PM25|Non-fatal heart attacks", US_national_yearly!$D:$AM, 10, FALSE), 1)</f>
        <v>6.9956963214958525E-6</v>
      </c>
      <c r="J13" s="7">
        <f>$B13 * IFERROR(VLOOKUP("LULUCF|PM25|Non-fatal heart attacks", US_national_yearly!$D:$AM, 18, FALSE) / VLOOKUP("LULUCF|PM25|Non-fatal heart attacks", US_national_yearly!$D:$AM, 10, FALSE), 1)</f>
        <v>7.1248878710983481E-6</v>
      </c>
      <c r="K13" s="7">
        <f>$B13 * IFERROR(VLOOKUP("LULUCF|PM25|Non-fatal heart attacks", US_national_yearly!$D:$AM, 19, FALSE) / VLOOKUP("LULUCF|PM25|Non-fatal heart attacks", US_national_yearly!$D:$AM, 10, FALSE), 1)</f>
        <v>7.2540794207008444E-6</v>
      </c>
      <c r="L13" s="7">
        <f>$B13 * IFERROR(VLOOKUP("LULUCF|PM25|Non-fatal heart attacks", US_national_yearly!$D:$AM, 20, FALSE) / VLOOKUP("LULUCF|PM25|Non-fatal heart attacks", US_national_yearly!$D:$AM, 10, FALSE), 1)</f>
        <v>7.3832709703033399E-6</v>
      </c>
      <c r="M13" s="7">
        <f>$B13 * IFERROR(VLOOKUP("LULUCF|PM25|Non-fatal heart attacks", US_national_yearly!$D:$AM, 21, FALSE) / VLOOKUP("LULUCF|PM25|Non-fatal heart attacks", US_national_yearly!$D:$AM, 10, FALSE), 1)</f>
        <v>7.5124625199058371E-6</v>
      </c>
      <c r="N13" s="7">
        <f>$B13 * IFERROR(VLOOKUP("LULUCF|PM25|Non-fatal heart attacks", US_national_yearly!$D:$AM, 22, FALSE) / VLOOKUP("LULUCF|PM25|Non-fatal heart attacks", US_national_yearly!$D:$AM, 10, FALSE), 1)</f>
        <v>7.5957783123179104E-6</v>
      </c>
      <c r="O13" s="7">
        <f>$B13 * IFERROR(VLOOKUP("LULUCF|PM25|Non-fatal heart attacks", US_national_yearly!$D:$AM, 23, FALSE) / VLOOKUP("LULUCF|PM25|Non-fatal heart attacks", US_national_yearly!$D:$AM, 10, FALSE), 1)</f>
        <v>7.6790941047299854E-6</v>
      </c>
      <c r="P13" s="7">
        <f>$B13 * IFERROR(VLOOKUP("LULUCF|PM25|Non-fatal heart attacks", US_national_yearly!$D:$AM, 24, FALSE) / VLOOKUP("LULUCF|PM25|Non-fatal heart attacks", US_national_yearly!$D:$AM, 10, FALSE), 1)</f>
        <v>7.7624098971420612E-6</v>
      </c>
      <c r="Q13" s="7">
        <f>$B13 * IFERROR(VLOOKUP("LULUCF|PM25|Non-fatal heart attacks", US_national_yearly!$D:$AM, 25, FALSE) / VLOOKUP("LULUCF|PM25|Non-fatal heart attacks", US_national_yearly!$D:$AM, 10, FALSE), 1)</f>
        <v>7.8457256895541353E-6</v>
      </c>
      <c r="R13" s="7">
        <f>$B13 * IFERROR(VLOOKUP("LULUCF|PM25|Non-fatal heart attacks", US_national_yearly!$D:$AM, 26, FALSE) / VLOOKUP("LULUCF|PM25|Non-fatal heart attacks", US_national_yearly!$D:$AM, 10, FALSE), 1)</f>
        <v>7.9290414819662095E-6</v>
      </c>
      <c r="S13" s="7">
        <f>$B13 * IFERROR(VLOOKUP("LULUCF|PM25|Non-fatal heart attacks", US_national_yearly!$D:$AM, 27, FALSE) / VLOOKUP("LULUCF|PM25|Non-fatal heart attacks", US_national_yearly!$D:$AM, 10, FALSE), 1)</f>
        <v>7.9729179585644311E-6</v>
      </c>
      <c r="T13" s="7">
        <f>$B13 * IFERROR(VLOOKUP("LULUCF|PM25|Non-fatal heart attacks", US_national_yearly!$D:$AM, 28, FALSE) / VLOOKUP("LULUCF|PM25|Non-fatal heart attacks", US_national_yearly!$D:$AM, 10, FALSE), 1)</f>
        <v>8.016794435162656E-6</v>
      </c>
      <c r="U13" s="7">
        <f>$B13 * IFERROR(VLOOKUP("LULUCF|PM25|Non-fatal heart attacks", US_national_yearly!$D:$AM, 29, FALSE) / VLOOKUP("LULUCF|PM25|Non-fatal heart attacks", US_national_yearly!$D:$AM, 10, FALSE), 1)</f>
        <v>8.0606709117608793E-6</v>
      </c>
      <c r="V13" s="7">
        <f>$B13 * IFERROR(VLOOKUP("LULUCF|PM25|Non-fatal heart attacks", US_national_yearly!$D:$AM, 30, FALSE) / VLOOKUP("LULUCF|PM25|Non-fatal heart attacks", US_national_yearly!$D:$AM, 10, FALSE), 1)</f>
        <v>8.1045473883591026E-6</v>
      </c>
      <c r="W13" s="7">
        <f>$B13 * IFERROR(VLOOKUP("LULUCF|PM25|Non-fatal heart attacks", US_national_yearly!$D:$AM, 31, FALSE) / VLOOKUP("LULUCF|PM25|Non-fatal heart attacks", US_national_yearly!$D:$AM, 10, FALSE), 1)</f>
        <v>8.1484238649573259E-6</v>
      </c>
      <c r="X13" s="7">
        <f>$B13 * IFERROR(VLOOKUP("LULUCF|PM25|Non-fatal heart attacks", US_national_yearly!$D:$AM, 32, FALSE) / VLOOKUP("LULUCF|PM25|Non-fatal heart attacks", US_national_yearly!$D:$AM, 10, FALSE), 1)</f>
        <v>8.181732455103502E-6</v>
      </c>
      <c r="Y13" s="7">
        <f>$B13 * IFERROR(VLOOKUP("LULUCF|PM25|Non-fatal heart attacks", US_national_yearly!$D:$AM, 33, FALSE) / VLOOKUP("LULUCF|PM25|Non-fatal heart attacks", US_national_yearly!$D:$AM, 10, FALSE), 1)</f>
        <v>8.2150410452496797E-6</v>
      </c>
      <c r="Z13" s="7">
        <f>$B13 * IFERROR(VLOOKUP("LULUCF|PM25|Non-fatal heart attacks", US_national_yearly!$D:$AM, 34, FALSE) / VLOOKUP("LULUCF|PM25|Non-fatal heart attacks", US_national_yearly!$D:$AM, 10, FALSE), 1)</f>
        <v>8.2483496353958575E-6</v>
      </c>
      <c r="AA13" s="7">
        <f>$B13 * IFERROR(VLOOKUP("LULUCF|PM25|Non-fatal heart attacks", US_national_yearly!$D:$AM, 35, FALSE) / VLOOKUP("LULUCF|PM25|Non-fatal heart attacks", US_national_yearly!$D:$AM, 10, FALSE), 1)</f>
        <v>8.2816582255420353E-6</v>
      </c>
      <c r="AB13" s="7">
        <f>$B13 * IFERROR(VLOOKUP("LULUCF|PM25|Non-fatal heart attacks", US_national_yearly!$D:$AM, 36, FALSE) / VLOOKUP("LULUCF|PM25|Non-fatal heart attacks", US_national_yearly!$D:$AM, 10, FALSE), 1)</f>
        <v>8.314966815688213E-6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5.7428457427548506E-3</v>
      </c>
      <c r="C14" s="7">
        <f>$B14 * IFERROR(VLOOKUP("LULUCF|PM25|Minor restricted activity days", US_national_yearly!$D:$AM, 11, FALSE) / VLOOKUP("LULUCF|PM25|Minor restricted activity days", US_national_yearly!$D:$AM, 10, FALSE), 1)</f>
        <v>5.7568704531078107E-3</v>
      </c>
      <c r="D14" s="7">
        <f>$B14 * IFERROR(VLOOKUP("LULUCF|PM25|Minor restricted activity days", US_national_yearly!$D:$AM, 12, FALSE) / VLOOKUP("LULUCF|PM25|Minor restricted activity days", US_national_yearly!$D:$AM, 10, FALSE), 1)</f>
        <v>5.7708951634607699E-3</v>
      </c>
      <c r="E14" s="7">
        <f>$B14 * IFERROR(VLOOKUP("LULUCF|PM25|Minor restricted activity days", US_national_yearly!$D:$AM, 13, FALSE) / VLOOKUP("LULUCF|PM25|Minor restricted activity days", US_national_yearly!$D:$AM, 10, FALSE), 1)</f>
        <v>5.7849198738137309E-3</v>
      </c>
      <c r="F14" s="7">
        <f>$B14 * IFERROR(VLOOKUP("LULUCF|PM25|Minor restricted activity days", US_national_yearly!$D:$AM, 14, FALSE) / VLOOKUP("LULUCF|PM25|Minor restricted activity days", US_national_yearly!$D:$AM, 10, FALSE), 1)</f>
        <v>5.7989445841666893E-3</v>
      </c>
      <c r="G14" s="7">
        <f>$B14 * IFERROR(VLOOKUP("LULUCF|PM25|Minor restricted activity days", US_national_yearly!$D:$AM, 15, FALSE) / VLOOKUP("LULUCF|PM25|Minor restricted activity days", US_national_yearly!$D:$AM, 10, FALSE), 1)</f>
        <v>5.8196376245692729E-3</v>
      </c>
      <c r="H14" s="7">
        <f>$B14 * IFERROR(VLOOKUP("LULUCF|PM25|Minor restricted activity days", US_national_yearly!$D:$AM, 16, FALSE) / VLOOKUP("LULUCF|PM25|Minor restricted activity days", US_national_yearly!$D:$AM, 10, FALSE), 1)</f>
        <v>5.8403306649718566E-3</v>
      </c>
      <c r="I14" s="7">
        <f>$B14 * IFERROR(VLOOKUP("LULUCF|PM25|Minor restricted activity days", US_national_yearly!$D:$AM, 17, FALSE) / VLOOKUP("LULUCF|PM25|Minor restricted activity days", US_national_yearly!$D:$AM, 10, FALSE), 1)</f>
        <v>5.8757062881134737E-3</v>
      </c>
      <c r="J14" s="7">
        <f>$B14 * IFERROR(VLOOKUP("LULUCF|PM25|Minor restricted activity days", US_national_yearly!$D:$AM, 18, FALSE) / VLOOKUP("LULUCF|PM25|Minor restricted activity days", US_national_yearly!$D:$AM, 10, FALSE), 1)</f>
        <v>5.9110819112550882E-3</v>
      </c>
      <c r="K14" s="7">
        <f>$B14 * IFERROR(VLOOKUP("LULUCF|PM25|Minor restricted activity days", US_national_yearly!$D:$AM, 19, FALSE) / VLOOKUP("LULUCF|PM25|Minor restricted activity days", US_national_yearly!$D:$AM, 10, FALSE), 1)</f>
        <v>5.9464575343967053E-3</v>
      </c>
      <c r="L14" s="7">
        <f>$B14 * IFERROR(VLOOKUP("LULUCF|PM25|Minor restricted activity days", US_national_yearly!$D:$AM, 20, FALSE) / VLOOKUP("LULUCF|PM25|Minor restricted activity days", US_national_yearly!$D:$AM, 10, FALSE), 1)</f>
        <v>5.9818331575383216E-3</v>
      </c>
      <c r="M14" s="7">
        <f>$B14 * IFERROR(VLOOKUP("LULUCF|PM25|Minor restricted activity days", US_national_yearly!$D:$AM, 21, FALSE) / VLOOKUP("LULUCF|PM25|Minor restricted activity days", US_national_yearly!$D:$AM, 10, FALSE), 1)</f>
        <v>6.0172087806799378E-3</v>
      </c>
      <c r="N14" s="7">
        <f>$B14 * IFERROR(VLOOKUP("LULUCF|PM25|Minor restricted activity days", US_national_yearly!$D:$AM, 22, FALSE) / VLOOKUP("LULUCF|PM25|Minor restricted activity days", US_national_yearly!$D:$AM, 10, FALSE), 1)</f>
        <v>6.0653974226728604E-3</v>
      </c>
      <c r="O14" s="7">
        <f>$B14 * IFERROR(VLOOKUP("LULUCF|PM25|Minor restricted activity days", US_national_yearly!$D:$AM, 23, FALSE) / VLOOKUP("LULUCF|PM25|Minor restricted activity days", US_national_yearly!$D:$AM, 10, FALSE), 1)</f>
        <v>6.1135860646657821E-3</v>
      </c>
      <c r="P14" s="7">
        <f>$B14 * IFERROR(VLOOKUP("LULUCF|PM25|Minor restricted activity days", US_national_yearly!$D:$AM, 24, FALSE) / VLOOKUP("LULUCF|PM25|Minor restricted activity days", US_national_yearly!$D:$AM, 10, FALSE), 1)</f>
        <v>6.1617747066587056E-3</v>
      </c>
      <c r="Q14" s="7">
        <f>$B14 * IFERROR(VLOOKUP("LULUCF|PM25|Minor restricted activity days", US_national_yearly!$D:$AM, 25, FALSE) / VLOOKUP("LULUCF|PM25|Minor restricted activity days", US_national_yearly!$D:$AM, 10, FALSE), 1)</f>
        <v>6.2099633486516273E-3</v>
      </c>
      <c r="R14" s="7">
        <f>$B14 * IFERROR(VLOOKUP("LULUCF|PM25|Minor restricted activity days", US_national_yearly!$D:$AM, 26, FALSE) / VLOOKUP("LULUCF|PM25|Minor restricted activity days", US_national_yearly!$D:$AM, 10, FALSE), 1)</f>
        <v>6.2581519906445482E-3</v>
      </c>
      <c r="S14" s="7">
        <f>$B14 * IFERROR(VLOOKUP("LULUCF|PM25|Minor restricted activity days", US_national_yearly!$D:$AM, 27, FALSE) / VLOOKUP("LULUCF|PM25|Minor restricted activity days", US_national_yearly!$D:$AM, 10, FALSE), 1)</f>
        <v>6.3066724920244508E-3</v>
      </c>
      <c r="T14" s="7">
        <f>$B14 * IFERROR(VLOOKUP("LULUCF|PM25|Minor restricted activity days", US_national_yearly!$D:$AM, 28, FALSE) / VLOOKUP("LULUCF|PM25|Minor restricted activity days", US_national_yearly!$D:$AM, 10, FALSE), 1)</f>
        <v>6.3551929934043535E-3</v>
      </c>
      <c r="U14" s="7">
        <f>$B14 * IFERROR(VLOOKUP("LULUCF|PM25|Minor restricted activity days", US_national_yearly!$D:$AM, 29, FALSE) / VLOOKUP("LULUCF|PM25|Minor restricted activity days", US_national_yearly!$D:$AM, 10, FALSE), 1)</f>
        <v>6.4037134947842562E-3</v>
      </c>
      <c r="V14" s="7">
        <f>$B14 * IFERROR(VLOOKUP("LULUCF|PM25|Minor restricted activity days", US_national_yearly!$D:$AM, 30, FALSE) / VLOOKUP("LULUCF|PM25|Minor restricted activity days", US_national_yearly!$D:$AM, 10, FALSE), 1)</f>
        <v>6.452233996164158E-3</v>
      </c>
      <c r="W14" s="7">
        <f>$B14 * IFERROR(VLOOKUP("LULUCF|PM25|Minor restricted activity days", US_national_yearly!$D:$AM, 31, FALSE) / VLOOKUP("LULUCF|PM25|Minor restricted activity days", US_national_yearly!$D:$AM, 10, FALSE), 1)</f>
        <v>6.5007544975440607E-3</v>
      </c>
      <c r="X14" s="7">
        <f>$B14 * IFERROR(VLOOKUP("LULUCF|PM25|Minor restricted activity days", US_national_yearly!$D:$AM, 32, FALSE) / VLOOKUP("LULUCF|PM25|Minor restricted activity days", US_national_yearly!$D:$AM, 10, FALSE), 1)</f>
        <v>6.5428751739971267E-3</v>
      </c>
      <c r="Y14" s="7">
        <f>$B14 * IFERROR(VLOOKUP("LULUCF|PM25|Minor restricted activity days", US_national_yearly!$D:$AM, 33, FALSE) / VLOOKUP("LULUCF|PM25|Minor restricted activity days", US_national_yearly!$D:$AM, 10, FALSE), 1)</f>
        <v>6.5849958504501918E-3</v>
      </c>
      <c r="Z14" s="7">
        <f>$B14 * IFERROR(VLOOKUP("LULUCF|PM25|Minor restricted activity days", US_national_yearly!$D:$AM, 34, FALSE) / VLOOKUP("LULUCF|PM25|Minor restricted activity days", US_national_yearly!$D:$AM, 10, FALSE), 1)</f>
        <v>6.6271165269032577E-3</v>
      </c>
      <c r="AA14" s="7">
        <f>$B14 * IFERROR(VLOOKUP("LULUCF|PM25|Minor restricted activity days", US_national_yearly!$D:$AM, 35, FALSE) / VLOOKUP("LULUCF|PM25|Minor restricted activity days", US_national_yearly!$D:$AM, 10, FALSE), 1)</f>
        <v>6.669237203356322E-3</v>
      </c>
      <c r="AB14" s="7">
        <f>$B14 * IFERROR(VLOOKUP("LULUCF|PM25|Minor restricted activity days", US_national_yearly!$D:$AM, 36, FALSE) / VLOOKUP("LULUCF|PM25|Minor restricted activity days", US_national_yearly!$D:$AM, 10, FALSE), 1)</f>
        <v>6.7113578798093879E-3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9.7495921743919335E-4</v>
      </c>
      <c r="C15" s="7">
        <f>$B15 * IFERROR(VLOOKUP("LULUCF|PM25|Work loss days", US_national_yearly!$D:$AM, 11, FALSE) / VLOOKUP("LULUCF|PM25|Work loss days", US_national_yearly!$D:$AM, 10, FALSE), 1)</f>
        <v>9.7798123986141822E-4</v>
      </c>
      <c r="D15" s="7">
        <f>$B15 * IFERROR(VLOOKUP("LULUCF|PM25|Work loss days", US_national_yearly!$D:$AM, 12, FALSE) / VLOOKUP("LULUCF|PM25|Work loss days", US_national_yearly!$D:$AM, 10, FALSE), 1)</f>
        <v>9.8100326228364319E-4</v>
      </c>
      <c r="E15" s="7">
        <f>$B15 * IFERROR(VLOOKUP("LULUCF|PM25|Work loss days", US_national_yearly!$D:$AM, 13, FALSE) / VLOOKUP("LULUCF|PM25|Work loss days", US_national_yearly!$D:$AM, 10, FALSE), 1)</f>
        <v>9.8402528470586796E-4</v>
      </c>
      <c r="F15" s="7">
        <f>$B15 * IFERROR(VLOOKUP("LULUCF|PM25|Work loss days", US_national_yearly!$D:$AM, 14, FALSE) / VLOOKUP("LULUCF|PM25|Work loss days", US_national_yearly!$D:$AM, 10, FALSE), 1)</f>
        <v>9.8704730712809272E-4</v>
      </c>
      <c r="G15" s="7">
        <f>$B15 * IFERROR(VLOOKUP("LULUCF|PM25|Work loss days", US_national_yearly!$D:$AM, 15, FALSE) / VLOOKUP("LULUCF|PM25|Work loss days", US_national_yearly!$D:$AM, 10, FALSE), 1)</f>
        <v>9.9100937136177851E-4</v>
      </c>
      <c r="H15" s="7">
        <f>$B15 * IFERROR(VLOOKUP("LULUCF|PM25|Work loss days", US_national_yearly!$D:$AM, 16, FALSE) / VLOOKUP("LULUCF|PM25|Work loss days", US_national_yearly!$D:$AM, 10, FALSE), 1)</f>
        <v>9.9497143559546452E-4</v>
      </c>
      <c r="I15" s="7">
        <f>$B15 * IFERROR(VLOOKUP("LULUCF|PM25|Work loss days", US_national_yearly!$D:$AM, 17, FALSE) / VLOOKUP("LULUCF|PM25|Work loss days", US_national_yearly!$D:$AM, 10, FALSE), 1)</f>
        <v>1.0008060109468369E-3</v>
      </c>
      <c r="J15" s="7">
        <f>$B15 * IFERROR(VLOOKUP("LULUCF|PM25|Work loss days", US_national_yearly!$D:$AM, 18, FALSE) / VLOOKUP("LULUCF|PM25|Work loss days", US_national_yearly!$D:$AM, 10, FALSE), 1)</f>
        <v>1.0066405862982093E-3</v>
      </c>
      <c r="K15" s="7">
        <f>$B15 * IFERROR(VLOOKUP("LULUCF|PM25|Work loss days", US_national_yearly!$D:$AM, 19, FALSE) / VLOOKUP("LULUCF|PM25|Work loss days", US_national_yearly!$D:$AM, 10, FALSE), 1)</f>
        <v>1.0124751616495814E-3</v>
      </c>
      <c r="L15" s="7">
        <f>$B15 * IFERROR(VLOOKUP("LULUCF|PM25|Work loss days", US_national_yearly!$D:$AM, 20, FALSE) / VLOOKUP("LULUCF|PM25|Work loss days", US_national_yearly!$D:$AM, 10, FALSE), 1)</f>
        <v>1.0183097370009538E-3</v>
      </c>
      <c r="M15" s="7">
        <f>$B15 * IFERROR(VLOOKUP("LULUCF|PM25|Work loss days", US_national_yearly!$D:$AM, 21, FALSE) / VLOOKUP("LULUCF|PM25|Work loss days", US_national_yearly!$D:$AM, 10, FALSE), 1)</f>
        <v>1.0241443123523261E-3</v>
      </c>
      <c r="N15" s="7">
        <f>$B15 * IFERROR(VLOOKUP("LULUCF|PM25|Work loss days", US_national_yearly!$D:$AM, 22, FALSE) / VLOOKUP("LULUCF|PM25|Work loss days", US_national_yearly!$D:$AM, 10, FALSE), 1)</f>
        <v>1.0314875670440413E-3</v>
      </c>
      <c r="O15" s="7">
        <f>$B15 * IFERROR(VLOOKUP("LULUCF|PM25|Work loss days", US_national_yearly!$D:$AM, 23, FALSE) / VLOOKUP("LULUCF|PM25|Work loss days", US_national_yearly!$D:$AM, 10, FALSE), 1)</f>
        <v>1.0388308217357562E-3</v>
      </c>
      <c r="P15" s="7">
        <f>$B15 * IFERROR(VLOOKUP("LULUCF|PM25|Work loss days", US_national_yearly!$D:$AM, 24, FALSE) / VLOOKUP("LULUCF|PM25|Work loss days", US_national_yearly!$D:$AM, 10, FALSE), 1)</f>
        <v>1.0461740764274715E-3</v>
      </c>
      <c r="Q15" s="7">
        <f>$B15 * IFERROR(VLOOKUP("LULUCF|PM25|Work loss days", US_national_yearly!$D:$AM, 25, FALSE) / VLOOKUP("LULUCF|PM25|Work loss days", US_national_yearly!$D:$AM, 10, FALSE), 1)</f>
        <v>1.0535173311191864E-3</v>
      </c>
      <c r="R15" s="7">
        <f>$B15 * IFERROR(VLOOKUP("LULUCF|PM25|Work loss days", US_national_yearly!$D:$AM, 26, FALSE) / VLOOKUP("LULUCF|PM25|Work loss days", US_national_yearly!$D:$AM, 10, FALSE), 1)</f>
        <v>1.0608605858109016E-3</v>
      </c>
      <c r="S15" s="7">
        <f>$B15 * IFERROR(VLOOKUP("LULUCF|PM25|Work loss days", US_national_yearly!$D:$AM, 27, FALSE) / VLOOKUP("LULUCF|PM25|Work loss days", US_national_yearly!$D:$AM, 10, FALSE), 1)</f>
        <v>1.0689825390088382E-3</v>
      </c>
      <c r="T15" s="7">
        <f>$B15 * IFERROR(VLOOKUP("LULUCF|PM25|Work loss days", US_national_yearly!$D:$AM, 28, FALSE) / VLOOKUP("LULUCF|PM25|Work loss days", US_national_yearly!$D:$AM, 10, FALSE), 1)</f>
        <v>1.0771044922067751E-3</v>
      </c>
      <c r="U15" s="7">
        <f>$B15 * IFERROR(VLOOKUP("LULUCF|PM25|Work loss days", US_national_yearly!$D:$AM, 29, FALSE) / VLOOKUP("LULUCF|PM25|Work loss days", US_national_yearly!$D:$AM, 10, FALSE), 1)</f>
        <v>1.0852264454047115E-3</v>
      </c>
      <c r="V15" s="7">
        <f>$B15 * IFERROR(VLOOKUP("LULUCF|PM25|Work loss days", US_national_yearly!$D:$AM, 30, FALSE) / VLOOKUP("LULUCF|PM25|Work loss days", US_national_yearly!$D:$AM, 10, FALSE), 1)</f>
        <v>1.0933483986026483E-3</v>
      </c>
      <c r="W15" s="7">
        <f>$B15 * IFERROR(VLOOKUP("LULUCF|PM25|Work loss days", US_national_yearly!$D:$AM, 31, FALSE) / VLOOKUP("LULUCF|PM25|Work loss days", US_national_yearly!$D:$AM, 10, FALSE), 1)</f>
        <v>1.101470351800585E-3</v>
      </c>
      <c r="X15" s="7">
        <f>$B15 * IFERROR(VLOOKUP("LULUCF|PM25|Work loss days", US_national_yearly!$D:$AM, 32, FALSE) / VLOOKUP("LULUCF|PM25|Work loss days", US_national_yearly!$D:$AM, 10, FALSE), 1)</f>
        <v>1.1086767148073531E-3</v>
      </c>
      <c r="Y15" s="7">
        <f>$B15 * IFERROR(VLOOKUP("LULUCF|PM25|Work loss days", US_national_yearly!$D:$AM, 33, FALSE) / VLOOKUP("LULUCF|PM25|Work loss days", US_national_yearly!$D:$AM, 10, FALSE), 1)</f>
        <v>1.1158830778141213E-3</v>
      </c>
      <c r="Z15" s="7">
        <f>$B15 * IFERROR(VLOOKUP("LULUCF|PM25|Work loss days", US_national_yearly!$D:$AM, 34, FALSE) / VLOOKUP("LULUCF|PM25|Work loss days", US_national_yearly!$D:$AM, 10, FALSE), 1)</f>
        <v>1.1230894408208898E-3</v>
      </c>
      <c r="AA15" s="7">
        <f>$B15 * IFERROR(VLOOKUP("LULUCF|PM25|Work loss days", US_national_yearly!$D:$AM, 35, FALSE) / VLOOKUP("LULUCF|PM25|Work loss days", US_national_yearly!$D:$AM, 10, FALSE), 1)</f>
        <v>1.1302958038276582E-3</v>
      </c>
      <c r="AB15" s="7">
        <f>$B15 * IFERROR(VLOOKUP("LULUCF|PM25|Work loss days", US_national_yearly!$D:$AM, 36, FALSE) / VLOOKUP("LULUCF|PM25|Work loss days", US_national_yearly!$D:$AM, 10, FALSE), 1)</f>
        <v>1.1375021668344264E-3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1.6894659391866682E-6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1.739948359542643E-6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1.7904307798986185E-6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1.8409132002545938E-6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1.8913956206105691E-6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1.939748761800887E-6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1.9881019029912056E-6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2.0294561640310357E-6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2.0708104250708655E-6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2.1121646861106957E-6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2.1535189471505258E-6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2.194873208190356E-6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2.2224450381985206E-6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2.2500168682066856E-6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2.2775886982148502E-6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2.3051605282230152E-6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2.3327323582311803E-6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2.3473204304410163E-6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2.361908502650852E-6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2.3764965748606872E-6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2.3910846470705233E-6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2.4056727192803589E-6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2.4154936013830863E-6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2.4253144834858136E-6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2.435135365588541E-6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2.4449562476912683E-6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2.4547771297939961E-6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1.8155481974995005E-5</v>
      </c>
      <c r="C2" s="7">
        <f>$B2 * IFERROR(VLOOKUP("LULUCF|NOx|Premature mortality", US_national_yearly!$D:$AM, 11, FALSE) / VLOOKUP("LULUCF|NOx|Premature mortality", US_national_yearly!$D:$AM, 10, FALSE), 1)</f>
        <v>1.8422155317844853E-5</v>
      </c>
      <c r="D2" s="7">
        <f>$B2 * IFERROR(VLOOKUP("LULUCF|NOx|Premature mortality", US_national_yearly!$D:$AM, 12, FALSE) / VLOOKUP("LULUCF|NOx|Premature mortality", US_national_yearly!$D:$AM, 10, FALSE), 1)</f>
        <v>1.8688828660694697E-5</v>
      </c>
      <c r="E2" s="7">
        <f>$B2 * IFERROR(VLOOKUP("LULUCF|NOx|Premature mortality", US_national_yearly!$D:$AM, 13, FALSE) / VLOOKUP("LULUCF|NOx|Premature mortality", US_national_yearly!$D:$AM, 10, FALSE), 1)</f>
        <v>1.8955502003544549E-5</v>
      </c>
      <c r="F2" s="7">
        <f>$B2 * IFERROR(VLOOKUP("LULUCF|NOx|Premature mortality", US_national_yearly!$D:$AM, 14, FALSE) / VLOOKUP("LULUCF|NOx|Premature mortality", US_national_yearly!$D:$AM, 10, FALSE), 1)</f>
        <v>1.9222175346394397E-5</v>
      </c>
      <c r="G2" s="7">
        <f>$B2 * IFERROR(VLOOKUP("LULUCF|NOx|Premature mortality", US_national_yearly!$D:$AM, 15, FALSE) / VLOOKUP("LULUCF|NOx|Premature mortality", US_national_yearly!$D:$AM, 10, FALSE), 1)</f>
        <v>1.970118371818562E-5</v>
      </c>
      <c r="H2" s="7">
        <f>$B2 * IFERROR(VLOOKUP("LULUCF|NOx|Premature mortality", US_national_yearly!$D:$AM, 16, FALSE) / VLOOKUP("LULUCF|NOx|Premature mortality", US_national_yearly!$D:$AM, 10, FALSE), 1)</f>
        <v>2.0180192089976853E-5</v>
      </c>
      <c r="I2" s="7">
        <f>$B2 * IFERROR(VLOOKUP("LULUCF|NOx|Premature mortality", US_national_yearly!$D:$AM, 17, FALSE) / VLOOKUP("LULUCF|NOx|Premature mortality", US_national_yearly!$D:$AM, 10, FALSE), 1)</f>
        <v>2.0489401080103056E-5</v>
      </c>
      <c r="J2" s="7">
        <f>$B2 * IFERROR(VLOOKUP("LULUCF|NOx|Premature mortality", US_national_yearly!$D:$AM, 18, FALSE) / VLOOKUP("LULUCF|NOx|Premature mortality", US_national_yearly!$D:$AM, 10, FALSE), 1)</f>
        <v>2.0798610070229258E-5</v>
      </c>
      <c r="K2" s="7">
        <f>$B2 * IFERROR(VLOOKUP("LULUCF|NOx|Premature mortality", US_national_yearly!$D:$AM, 19, FALSE) / VLOOKUP("LULUCF|NOx|Premature mortality", US_national_yearly!$D:$AM, 10, FALSE), 1)</f>
        <v>2.1107819060355458E-5</v>
      </c>
      <c r="L2" s="7">
        <f>$B2 * IFERROR(VLOOKUP("LULUCF|NOx|Premature mortality", US_national_yearly!$D:$AM, 20, FALSE) / VLOOKUP("LULUCF|NOx|Premature mortality", US_national_yearly!$D:$AM, 10, FALSE), 1)</f>
        <v>2.1417028050481661E-5</v>
      </c>
      <c r="M2" s="7">
        <f>$B2 * IFERROR(VLOOKUP("LULUCF|NOx|Premature mortality", US_national_yearly!$D:$AM, 21, FALSE) / VLOOKUP("LULUCF|NOx|Premature mortality", US_national_yearly!$D:$AM, 10, FALSE), 1)</f>
        <v>2.1726237040607864E-5</v>
      </c>
      <c r="N2" s="7">
        <f>$B2 * IFERROR(VLOOKUP("LULUCF|NOx|Premature mortality", US_national_yearly!$D:$AM, 22, FALSE) / VLOOKUP("LULUCF|NOx|Premature mortality", US_national_yearly!$D:$AM, 10, FALSE), 1)</f>
        <v>2.1955297858429892E-5</v>
      </c>
      <c r="O2" s="7">
        <f>$B2 * IFERROR(VLOOKUP("LULUCF|NOx|Premature mortality", US_national_yearly!$D:$AM, 23, FALSE) / VLOOKUP("LULUCF|NOx|Premature mortality", US_national_yearly!$D:$AM, 10, FALSE), 1)</f>
        <v>2.218435867625192E-5</v>
      </c>
      <c r="P2" s="7">
        <f>$B2 * IFERROR(VLOOKUP("LULUCF|NOx|Premature mortality", US_national_yearly!$D:$AM, 24, FALSE) / VLOOKUP("LULUCF|NOx|Premature mortality", US_national_yearly!$D:$AM, 10, FALSE), 1)</f>
        <v>2.2413419494073952E-5</v>
      </c>
      <c r="Q2" s="7">
        <f>$B2 * IFERROR(VLOOKUP("LULUCF|NOx|Premature mortality", US_national_yearly!$D:$AM, 25, FALSE) / VLOOKUP("LULUCF|NOx|Premature mortality", US_national_yearly!$D:$AM, 10, FALSE), 1)</f>
        <v>2.2642480311895984E-5</v>
      </c>
      <c r="R2" s="7">
        <f>$B2 * IFERROR(VLOOKUP("LULUCF|NOx|Premature mortality", US_national_yearly!$D:$AM, 26, FALSE) / VLOOKUP("LULUCF|NOx|Premature mortality", US_national_yearly!$D:$AM, 10, FALSE), 1)</f>
        <v>2.2871541129718012E-5</v>
      </c>
      <c r="S2" s="7">
        <f>$B2 * IFERROR(VLOOKUP("LULUCF|NOx|Premature mortality", US_national_yearly!$D:$AM, 27, FALSE) / VLOOKUP("LULUCF|NOx|Premature mortality", US_national_yearly!$D:$AM, 10, FALSE), 1)</f>
        <v>2.2975651578029907E-5</v>
      </c>
      <c r="T2" s="7">
        <f>$B2 * IFERROR(VLOOKUP("LULUCF|NOx|Premature mortality", US_national_yearly!$D:$AM, 28, FALSE) / VLOOKUP("LULUCF|NOx|Premature mortality", US_national_yearly!$D:$AM, 10, FALSE), 1)</f>
        <v>2.3079762026341805E-5</v>
      </c>
      <c r="U2" s="7">
        <f>$B2 * IFERROR(VLOOKUP("LULUCF|NOx|Premature mortality", US_national_yearly!$D:$AM, 29, FALSE) / VLOOKUP("LULUCF|NOx|Premature mortality", US_national_yearly!$D:$AM, 10, FALSE), 1)</f>
        <v>2.3183872474653699E-5</v>
      </c>
      <c r="V2" s="7">
        <f>$B2 * IFERROR(VLOOKUP("LULUCF|NOx|Premature mortality", US_national_yearly!$D:$AM, 30, FALSE) / VLOOKUP("LULUCF|NOx|Premature mortality", US_national_yearly!$D:$AM, 10, FALSE), 1)</f>
        <v>2.3287982922965594E-5</v>
      </c>
      <c r="W2" s="7">
        <f>$B2 * IFERROR(VLOOKUP("LULUCF|NOx|Premature mortality", US_national_yearly!$D:$AM, 31, FALSE) / VLOOKUP("LULUCF|NOx|Premature mortality", US_national_yearly!$D:$AM, 10, FALSE), 1)</f>
        <v>2.3392093371277492E-5</v>
      </c>
      <c r="X2" s="7">
        <f>$B2 * IFERROR(VLOOKUP("LULUCF|NOx|Premature mortality", US_national_yearly!$D:$AM, 32, FALSE) / VLOOKUP("LULUCF|NOx|Premature mortality", US_national_yearly!$D:$AM, 10, FALSE), 1)</f>
        <v>2.339569969744714E-5</v>
      </c>
      <c r="Y2" s="7">
        <f>$B2 * IFERROR(VLOOKUP("LULUCF|NOx|Premature mortality", US_national_yearly!$D:$AM, 33, FALSE) / VLOOKUP("LULUCF|NOx|Premature mortality", US_national_yearly!$D:$AM, 10, FALSE), 1)</f>
        <v>2.3399306023616791E-5</v>
      </c>
      <c r="Z2" s="7">
        <f>$B2 * IFERROR(VLOOKUP("LULUCF|NOx|Premature mortality", US_national_yearly!$D:$AM, 34, FALSE) / VLOOKUP("LULUCF|NOx|Premature mortality", US_national_yearly!$D:$AM, 10, FALSE), 1)</f>
        <v>2.3402912349786435E-5</v>
      </c>
      <c r="AA2" s="7">
        <f>$B2 * IFERROR(VLOOKUP("LULUCF|NOx|Premature mortality", US_national_yearly!$D:$AM, 35, FALSE) / VLOOKUP("LULUCF|NOx|Premature mortality", US_national_yearly!$D:$AM, 10, FALSE), 1)</f>
        <v>2.3406518675956086E-5</v>
      </c>
      <c r="AB2" s="7">
        <f>$B2 * IFERROR(VLOOKUP("LULUCF|NOx|Premature mortality", US_national_yearly!$D:$AM, 36, FALSE) / VLOOKUP("LULUCF|NOx|Premature mortality", US_national_yearly!$D:$AM, 10, FALSE), 1)</f>
        <v>2.3410125002125737E-5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5.475678045248698E-8</v>
      </c>
      <c r="C3" s="7">
        <f>$B3 * IFERROR(VLOOKUP("LULUCF|NOx|Infant mortality", US_national_yearly!$D:$AM, 11, FALSE) / VLOOKUP("LULUCF|NOx|Infant mortality", US_national_yearly!$D:$AM, 10, FALSE), 1)</f>
        <v>5.4235082589502309E-8</v>
      </c>
      <c r="D3" s="7">
        <f>$B3 * IFERROR(VLOOKUP("LULUCF|NOx|Infant mortality", US_national_yearly!$D:$AM, 12, FALSE) / VLOOKUP("LULUCF|NOx|Infant mortality", US_national_yearly!$D:$AM, 10, FALSE), 1)</f>
        <v>5.3713384726517631E-8</v>
      </c>
      <c r="E3" s="7">
        <f>$B3 * IFERROR(VLOOKUP("LULUCF|NOx|Infant mortality", US_national_yearly!$D:$AM, 13, FALSE) / VLOOKUP("LULUCF|NOx|Infant mortality", US_national_yearly!$D:$AM, 10, FALSE), 1)</f>
        <v>5.3191686863532954E-8</v>
      </c>
      <c r="F3" s="7">
        <f>$B3 * IFERROR(VLOOKUP("LULUCF|NOx|Infant mortality", US_national_yearly!$D:$AM, 14, FALSE) / VLOOKUP("LULUCF|NOx|Infant mortality", US_national_yearly!$D:$AM, 10, FALSE), 1)</f>
        <v>5.2669989000548283E-8</v>
      </c>
      <c r="G3" s="7">
        <f>$B3 * IFERROR(VLOOKUP("LULUCF|NOx|Infant mortality", US_national_yearly!$D:$AM, 15, FALSE) / VLOOKUP("LULUCF|NOx|Infant mortality", US_national_yearly!$D:$AM, 10, FALSE), 1)</f>
        <v>3.4964939594376651E-8</v>
      </c>
      <c r="H3" s="7">
        <f>$B3 * IFERROR(VLOOKUP("LULUCF|NOx|Infant mortality", US_national_yearly!$D:$AM, 16, FALSE) / VLOOKUP("LULUCF|NOx|Infant mortality", US_national_yearly!$D:$AM, 10, FALSE), 1)</f>
        <v>1.7259890188205015E-8</v>
      </c>
      <c r="I3" s="7">
        <f>$B3 * IFERROR(VLOOKUP("LULUCF|NOx|Infant mortality", US_national_yearly!$D:$AM, 17, FALSE) / VLOOKUP("LULUCF|NOx|Infant mortality", US_national_yearly!$D:$AM, 10, FALSE), 1)</f>
        <v>1.7137846284764101E-8</v>
      </c>
      <c r="J3" s="7">
        <f>$B3 * IFERROR(VLOOKUP("LULUCF|NOx|Infant mortality", US_national_yearly!$D:$AM, 18, FALSE) / VLOOKUP("LULUCF|NOx|Infant mortality", US_national_yearly!$D:$AM, 10, FALSE), 1)</f>
        <v>1.701580238132318E-8</v>
      </c>
      <c r="K3" s="7">
        <f>$B3 * IFERROR(VLOOKUP("LULUCF|NOx|Infant mortality", US_national_yearly!$D:$AM, 19, FALSE) / VLOOKUP("LULUCF|NOx|Infant mortality", US_national_yearly!$D:$AM, 10, FALSE), 1)</f>
        <v>1.6893758477882265E-8</v>
      </c>
      <c r="L3" s="7">
        <f>$B3 * IFERROR(VLOOKUP("LULUCF|NOx|Infant mortality", US_national_yearly!$D:$AM, 20, FALSE) / VLOOKUP("LULUCF|NOx|Infant mortality", US_national_yearly!$D:$AM, 10, FALSE), 1)</f>
        <v>1.6771714574441351E-8</v>
      </c>
      <c r="M3" s="7">
        <f>$B3 * IFERROR(VLOOKUP("LULUCF|NOx|Infant mortality", US_national_yearly!$D:$AM, 21, FALSE) / VLOOKUP("LULUCF|NOx|Infant mortality", US_national_yearly!$D:$AM, 10, FALSE), 1)</f>
        <v>1.664967067100043E-8</v>
      </c>
      <c r="N3" s="7">
        <f>$B3 * IFERROR(VLOOKUP("LULUCF|NOx|Infant mortality", US_national_yearly!$D:$AM, 22, FALSE) / VLOOKUP("LULUCF|NOx|Infant mortality", US_national_yearly!$D:$AM, 10, FALSE), 1)</f>
        <v>1.6568663030855186E-8</v>
      </c>
      <c r="O3" s="7">
        <f>$B3 * IFERROR(VLOOKUP("LULUCF|NOx|Infant mortality", US_national_yearly!$D:$AM, 23, FALSE) / VLOOKUP("LULUCF|NOx|Infant mortality", US_national_yearly!$D:$AM, 10, FALSE), 1)</f>
        <v>1.6487655390709942E-8</v>
      </c>
      <c r="P3" s="7">
        <f>$B3 * IFERROR(VLOOKUP("LULUCF|NOx|Infant mortality", US_national_yearly!$D:$AM, 24, FALSE) / VLOOKUP("LULUCF|NOx|Infant mortality", US_national_yearly!$D:$AM, 10, FALSE), 1)</f>
        <v>1.6406647750564698E-8</v>
      </c>
      <c r="Q3" s="7">
        <f>$B3 * IFERROR(VLOOKUP("LULUCF|NOx|Infant mortality", US_national_yearly!$D:$AM, 25, FALSE) / VLOOKUP("LULUCF|NOx|Infant mortality", US_national_yearly!$D:$AM, 10, FALSE), 1)</f>
        <v>1.6325640110419454E-8</v>
      </c>
      <c r="R3" s="7">
        <f>$B3 * IFERROR(VLOOKUP("LULUCF|NOx|Infant mortality", US_national_yearly!$D:$AM, 26, FALSE) / VLOOKUP("LULUCF|NOx|Infant mortality", US_national_yearly!$D:$AM, 10, FALSE), 1)</f>
        <v>1.624463247027421E-8</v>
      </c>
      <c r="S3" s="7">
        <f>$B3 * IFERROR(VLOOKUP("LULUCF|NOx|Infant mortality", US_national_yearly!$D:$AM, 27, FALSE) / VLOOKUP("LULUCF|NOx|Infant mortality", US_national_yearly!$D:$AM, 10, FALSE), 1)</f>
        <v>1.6147248404674777E-8</v>
      </c>
      <c r="T3" s="7">
        <f>$B3 * IFERROR(VLOOKUP("LULUCF|NOx|Infant mortality", US_national_yearly!$D:$AM, 28, FALSE) / VLOOKUP("LULUCF|NOx|Infant mortality", US_national_yearly!$D:$AM, 10, FALSE), 1)</f>
        <v>1.6049864339075343E-8</v>
      </c>
      <c r="U3" s="7">
        <f>$B3 * IFERROR(VLOOKUP("LULUCF|NOx|Infant mortality", US_national_yearly!$D:$AM, 29, FALSE) / VLOOKUP("LULUCF|NOx|Infant mortality", US_national_yearly!$D:$AM, 10, FALSE), 1)</f>
        <v>1.5952480273475906E-8</v>
      </c>
      <c r="V3" s="7">
        <f>$B3 * IFERROR(VLOOKUP("LULUCF|NOx|Infant mortality", US_national_yearly!$D:$AM, 30, FALSE) / VLOOKUP("LULUCF|NOx|Infant mortality", US_national_yearly!$D:$AM, 10, FALSE), 1)</f>
        <v>1.5855096207876473E-8</v>
      </c>
      <c r="W3" s="7">
        <f>$B3 * IFERROR(VLOOKUP("LULUCF|NOx|Infant mortality", US_national_yearly!$D:$AM, 31, FALSE) / VLOOKUP("LULUCF|NOx|Infant mortality", US_national_yearly!$D:$AM, 10, FALSE), 1)</f>
        <v>1.5757712142277039E-8</v>
      </c>
      <c r="X3" s="7">
        <f>$B3 * IFERROR(VLOOKUP("LULUCF|NOx|Infant mortality", US_national_yearly!$D:$AM, 32, FALSE) / VLOOKUP("LULUCF|NOx|Infant mortality", US_national_yearly!$D:$AM, 10, FALSE), 1)</f>
        <v>1.5654577707506035E-8</v>
      </c>
      <c r="Y3" s="7">
        <f>$B3 * IFERROR(VLOOKUP("LULUCF|NOx|Infant mortality", US_national_yearly!$D:$AM, 33, FALSE) / VLOOKUP("LULUCF|NOx|Infant mortality", US_national_yearly!$D:$AM, 10, FALSE), 1)</f>
        <v>1.5551443272735027E-8</v>
      </c>
      <c r="Z3" s="7">
        <f>$B3 * IFERROR(VLOOKUP("LULUCF|NOx|Infant mortality", US_national_yearly!$D:$AM, 34, FALSE) / VLOOKUP("LULUCF|NOx|Infant mortality", US_national_yearly!$D:$AM, 10, FALSE), 1)</f>
        <v>1.544830883796402E-8</v>
      </c>
      <c r="AA3" s="7">
        <f>$B3 * IFERROR(VLOOKUP("LULUCF|NOx|Infant mortality", US_national_yearly!$D:$AM, 35, FALSE) / VLOOKUP("LULUCF|NOx|Infant mortality", US_national_yearly!$D:$AM, 10, FALSE), 1)</f>
        <v>1.5345174403193012E-8</v>
      </c>
      <c r="AB3" s="7">
        <f>$B3 * IFERROR(VLOOKUP("LULUCF|NOx|Infant mortality", US_national_yearly!$D:$AM, 36, FALSE) / VLOOKUP("LULUCF|NOx|Infant mortality", US_national_yearly!$D:$AM, 10, FALSE), 1)</f>
        <v>1.5242039968422004E-8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5.2382752640411123E-5</v>
      </c>
      <c r="C6" s="7">
        <f>$B6 * IFERROR(VLOOKUP("LULUCF|NOx|Asthma symptoms cough", US_national_yearly!$D:$AM, 11, FALSE) / VLOOKUP("LULUCF|NOx|Asthma symptoms cough", US_national_yearly!$D:$AM, 10, FALSE), 1)</f>
        <v>5.3098910511415984E-5</v>
      </c>
      <c r="D6" s="7">
        <f>$B6 * IFERROR(VLOOKUP("LULUCF|NOx|Asthma symptoms cough", US_national_yearly!$D:$AM, 12, FALSE) / VLOOKUP("LULUCF|NOx|Asthma symptoms cough", US_national_yearly!$D:$AM, 10, FALSE), 1)</f>
        <v>5.3815068382420852E-5</v>
      </c>
      <c r="E6" s="7">
        <f>$B6 * IFERROR(VLOOKUP("LULUCF|NOx|Asthma symptoms cough", US_national_yearly!$D:$AM, 13, FALSE) / VLOOKUP("LULUCF|NOx|Asthma symptoms cough", US_national_yearly!$D:$AM, 10, FALSE), 1)</f>
        <v>5.4531226253425714E-5</v>
      </c>
      <c r="F6" s="7">
        <f>$B6 * IFERROR(VLOOKUP("LULUCF|NOx|Asthma symptoms cough", US_national_yearly!$D:$AM, 14, FALSE) / VLOOKUP("LULUCF|NOx|Asthma symptoms cough", US_national_yearly!$D:$AM, 10, FALSE), 1)</f>
        <v>5.5247384124430575E-5</v>
      </c>
      <c r="G6" s="7">
        <f>$B6 * IFERROR(VLOOKUP("LULUCF|NOx|Asthma symptoms cough", US_national_yearly!$D:$AM, 15, FALSE) / VLOOKUP("LULUCF|NOx|Asthma symptoms cough", US_national_yearly!$D:$AM, 10, FALSE), 1)</f>
        <v>5.5819136108126596E-5</v>
      </c>
      <c r="H6" s="7">
        <f>$B6 * IFERROR(VLOOKUP("LULUCF|NOx|Asthma symptoms cough", US_national_yearly!$D:$AM, 16, FALSE) / VLOOKUP("LULUCF|NOx|Asthma symptoms cough", US_national_yearly!$D:$AM, 10, FALSE), 1)</f>
        <v>5.639088809182263E-5</v>
      </c>
      <c r="I6" s="7">
        <f>$B6 * IFERROR(VLOOKUP("LULUCF|NOx|Asthma symptoms cough", US_national_yearly!$D:$AM, 17, FALSE) / VLOOKUP("LULUCF|NOx|Asthma symptoms cough", US_national_yearly!$D:$AM, 10, FALSE), 1)</f>
        <v>5.6587676950986632E-5</v>
      </c>
      <c r="J6" s="7">
        <f>$B6 * IFERROR(VLOOKUP("LULUCF|NOx|Asthma symptoms cough", US_national_yearly!$D:$AM, 18, FALSE) / VLOOKUP("LULUCF|NOx|Asthma symptoms cough", US_national_yearly!$D:$AM, 10, FALSE), 1)</f>
        <v>5.6784465810150642E-5</v>
      </c>
      <c r="K6" s="7">
        <f>$B6 * IFERROR(VLOOKUP("LULUCF|NOx|Asthma symptoms cough", US_national_yearly!$D:$AM, 19, FALSE) / VLOOKUP("LULUCF|NOx|Asthma symptoms cough", US_national_yearly!$D:$AM, 10, FALSE), 1)</f>
        <v>5.6981254669314644E-5</v>
      </c>
      <c r="L6" s="7">
        <f>$B6 * IFERROR(VLOOKUP("LULUCF|NOx|Asthma symptoms cough", US_national_yearly!$D:$AM, 20, FALSE) / VLOOKUP("LULUCF|NOx|Asthma symptoms cough", US_national_yearly!$D:$AM, 10, FALSE), 1)</f>
        <v>5.7178043528478646E-5</v>
      </c>
      <c r="M6" s="7">
        <f>$B6 * IFERROR(VLOOKUP("LULUCF|NOx|Asthma symptoms cough", US_national_yearly!$D:$AM, 21, FALSE) / VLOOKUP("LULUCF|NOx|Asthma symptoms cough", US_national_yearly!$D:$AM, 10, FALSE), 1)</f>
        <v>5.7374832387642656E-5</v>
      </c>
      <c r="N6" s="7">
        <f>$B6 * IFERROR(VLOOKUP("LULUCF|NOx|Asthma symptoms cough", US_national_yearly!$D:$AM, 22, FALSE) / VLOOKUP("LULUCF|NOx|Asthma symptoms cough", US_national_yearly!$D:$AM, 10, FALSE), 1)</f>
        <v>5.760302372417235E-5</v>
      </c>
      <c r="O6" s="7">
        <f>$B6 * IFERROR(VLOOKUP("LULUCF|NOx|Asthma symptoms cough", US_national_yearly!$D:$AM, 23, FALSE) / VLOOKUP("LULUCF|NOx|Asthma symptoms cough", US_national_yearly!$D:$AM, 10, FALSE), 1)</f>
        <v>5.7831215060702051E-5</v>
      </c>
      <c r="P6" s="7">
        <f>$B6 * IFERROR(VLOOKUP("LULUCF|NOx|Asthma symptoms cough", US_national_yearly!$D:$AM, 24, FALSE) / VLOOKUP("LULUCF|NOx|Asthma symptoms cough", US_national_yearly!$D:$AM, 10, FALSE), 1)</f>
        <v>5.8059406397231745E-5</v>
      </c>
      <c r="Q6" s="7">
        <f>$B6 * IFERROR(VLOOKUP("LULUCF|NOx|Asthma symptoms cough", US_national_yearly!$D:$AM, 25, FALSE) / VLOOKUP("LULUCF|NOx|Asthma symptoms cough", US_national_yearly!$D:$AM, 10, FALSE), 1)</f>
        <v>5.8287597733761446E-5</v>
      </c>
      <c r="R6" s="7">
        <f>$B6 * IFERROR(VLOOKUP("LULUCF|NOx|Asthma symptoms cough", US_national_yearly!$D:$AM, 26, FALSE) / VLOOKUP("LULUCF|NOx|Asthma symptoms cough", US_national_yearly!$D:$AM, 10, FALSE), 1)</f>
        <v>5.8515789070291147E-5</v>
      </c>
      <c r="S6" s="7">
        <f>$B6 * IFERROR(VLOOKUP("LULUCF|NOx|Asthma symptoms cough", US_national_yearly!$D:$AM, 27, FALSE) / VLOOKUP("LULUCF|NOx|Asthma symptoms cough", US_national_yearly!$D:$AM, 10, FALSE), 1)</f>
        <v>5.8813879634201071E-5</v>
      </c>
      <c r="T6" s="7">
        <f>$B6 * IFERROR(VLOOKUP("LULUCF|NOx|Asthma symptoms cough", US_national_yearly!$D:$AM, 28, FALSE) / VLOOKUP("LULUCF|NOx|Asthma symptoms cough", US_national_yearly!$D:$AM, 10, FALSE), 1)</f>
        <v>5.9111970198110988E-5</v>
      </c>
      <c r="U6" s="7">
        <f>$B6 * IFERROR(VLOOKUP("LULUCF|NOx|Asthma symptoms cough", US_national_yearly!$D:$AM, 29, FALSE) / VLOOKUP("LULUCF|NOx|Asthma symptoms cough", US_national_yearly!$D:$AM, 10, FALSE), 1)</f>
        <v>5.9410060762020892E-5</v>
      </c>
      <c r="V6" s="7">
        <f>$B6 * IFERROR(VLOOKUP("LULUCF|NOx|Asthma symptoms cough", US_national_yearly!$D:$AM, 30, FALSE) / VLOOKUP("LULUCF|NOx|Asthma symptoms cough", US_national_yearly!$D:$AM, 10, FALSE), 1)</f>
        <v>5.9708151325930815E-5</v>
      </c>
      <c r="W6" s="7">
        <f>$B6 * IFERROR(VLOOKUP("LULUCF|NOx|Asthma symptoms cough", US_national_yearly!$D:$AM, 31, FALSE) / VLOOKUP("LULUCF|NOx|Asthma symptoms cough", US_national_yearly!$D:$AM, 10, FALSE), 1)</f>
        <v>6.0006241889840732E-5</v>
      </c>
      <c r="X6" s="7">
        <f>$B6 * IFERROR(VLOOKUP("LULUCF|NOx|Asthma symptoms cough", US_national_yearly!$D:$AM, 32, FALSE) / VLOOKUP("LULUCF|NOx|Asthma symptoms cough", US_national_yearly!$D:$AM, 10, FALSE), 1)</f>
        <v>6.0283210855018977E-5</v>
      </c>
      <c r="Y6" s="7">
        <f>$B6 * IFERROR(VLOOKUP("LULUCF|NOx|Asthma symptoms cough", US_national_yearly!$D:$AM, 33, FALSE) / VLOOKUP("LULUCF|NOx|Asthma symptoms cough", US_national_yearly!$D:$AM, 10, FALSE), 1)</f>
        <v>6.0560179820197228E-5</v>
      </c>
      <c r="Z6" s="7">
        <f>$B6 * IFERROR(VLOOKUP("LULUCF|NOx|Asthma symptoms cough", US_national_yearly!$D:$AM, 34, FALSE) / VLOOKUP("LULUCF|NOx|Asthma symptoms cough", US_national_yearly!$D:$AM, 10, FALSE), 1)</f>
        <v>6.083714878537548E-5</v>
      </c>
      <c r="AA6" s="7">
        <f>$B6 * IFERROR(VLOOKUP("LULUCF|NOx|Asthma symptoms cough", US_national_yearly!$D:$AM, 35, FALSE) / VLOOKUP("LULUCF|NOx|Asthma symptoms cough", US_national_yearly!$D:$AM, 10, FALSE), 1)</f>
        <v>6.1114117750553731E-5</v>
      </c>
      <c r="AB6" s="7">
        <f>$B6 * IFERROR(VLOOKUP("LULUCF|NOx|Asthma symptoms cough", US_national_yearly!$D:$AM, 36, FALSE) / VLOOKUP("LULUCF|NOx|Asthma symptoms cough", US_national_yearly!$D:$AM, 10, FALSE), 1)</f>
        <v>6.1391086715731989E-5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7.0540973223876175E-5</v>
      </c>
      <c r="C7" s="7">
        <f>$B7 * IFERROR(VLOOKUP("LULUCF|NOx|Asthma symptoms shortness of breath", US_national_yearly!$D:$AM, 11, FALSE) / VLOOKUP("LULUCF|NOx|Asthma symptoms shortness of breath", US_national_yearly!$D:$AM, 10, FALSE), 1)</f>
        <v>7.1505383657018021E-5</v>
      </c>
      <c r="D7" s="7">
        <f>$B7 * IFERROR(VLOOKUP("LULUCF|NOx|Asthma symptoms shortness of breath", US_national_yearly!$D:$AM, 12, FALSE) / VLOOKUP("LULUCF|NOx|Asthma symptoms shortness of breath", US_national_yearly!$D:$AM, 10, FALSE), 1)</f>
        <v>7.2469794090159853E-5</v>
      </c>
      <c r="E7" s="7">
        <f>$B7 * IFERROR(VLOOKUP("LULUCF|NOx|Asthma symptoms shortness of breath", US_national_yearly!$D:$AM, 13, FALSE) / VLOOKUP("LULUCF|NOx|Asthma symptoms shortness of breath", US_national_yearly!$D:$AM, 10, FALSE), 1)</f>
        <v>7.3434204523301698E-5</v>
      </c>
      <c r="F7" s="7">
        <f>$B7 * IFERROR(VLOOKUP("LULUCF|NOx|Asthma symptoms shortness of breath", US_national_yearly!$D:$AM, 14, FALSE) / VLOOKUP("LULUCF|NOx|Asthma symptoms shortness of breath", US_national_yearly!$D:$AM, 10, FALSE), 1)</f>
        <v>7.4398614956443544E-5</v>
      </c>
      <c r="G7" s="7">
        <f>$B7 * IFERROR(VLOOKUP("LULUCF|NOx|Asthma symptoms shortness of breath", US_national_yearly!$D:$AM, 15, FALSE) / VLOOKUP("LULUCF|NOx|Asthma symptoms shortness of breath", US_national_yearly!$D:$AM, 10, FALSE), 1)</f>
        <v>7.5168561919385191E-5</v>
      </c>
      <c r="H7" s="7">
        <f>$B7 * IFERROR(VLOOKUP("LULUCF|NOx|Asthma symptoms shortness of breath", US_national_yearly!$D:$AM, 16, FALSE) / VLOOKUP("LULUCF|NOx|Asthma symptoms shortness of breath", US_national_yearly!$D:$AM, 10, FALSE), 1)</f>
        <v>7.5938508882326838E-5</v>
      </c>
      <c r="I7" s="7">
        <f>$B7 * IFERROR(VLOOKUP("LULUCF|NOx|Asthma symptoms shortness of breath", US_national_yearly!$D:$AM, 17, FALSE) / VLOOKUP("LULUCF|NOx|Asthma symptoms shortness of breath", US_national_yearly!$D:$AM, 10, FALSE), 1)</f>
        <v>7.6203513618681632E-5</v>
      </c>
      <c r="J7" s="7">
        <f>$B7 * IFERROR(VLOOKUP("LULUCF|NOx|Asthma symptoms shortness of breath", US_national_yearly!$D:$AM, 18, FALSE) / VLOOKUP("LULUCF|NOx|Asthma symptoms shortness of breath", US_national_yearly!$D:$AM, 10, FALSE), 1)</f>
        <v>7.6468518355036425E-5</v>
      </c>
      <c r="K7" s="7">
        <f>$B7 * IFERROR(VLOOKUP("LULUCF|NOx|Asthma symptoms shortness of breath", US_national_yearly!$D:$AM, 19, FALSE) / VLOOKUP("LULUCF|NOx|Asthma symptoms shortness of breath", US_national_yearly!$D:$AM, 10, FALSE), 1)</f>
        <v>7.6733523091391219E-5</v>
      </c>
      <c r="L7" s="7">
        <f>$B7 * IFERROR(VLOOKUP("LULUCF|NOx|Asthma symptoms shortness of breath", US_national_yearly!$D:$AM, 20, FALSE) / VLOOKUP("LULUCF|NOx|Asthma symptoms shortness of breath", US_national_yearly!$D:$AM, 10, FALSE), 1)</f>
        <v>7.6998527827745999E-5</v>
      </c>
      <c r="M7" s="7">
        <f>$B7 * IFERROR(VLOOKUP("LULUCF|NOx|Asthma symptoms shortness of breath", US_national_yearly!$D:$AM, 21, FALSE) / VLOOKUP("LULUCF|NOx|Asthma symptoms shortness of breath", US_national_yearly!$D:$AM, 10, FALSE), 1)</f>
        <v>7.7263532564100792E-5</v>
      </c>
      <c r="N7" s="7">
        <f>$B7 * IFERROR(VLOOKUP("LULUCF|NOx|Asthma symptoms shortness of breath", US_national_yearly!$D:$AM, 22, FALSE) / VLOOKUP("LULUCF|NOx|Asthma symptoms shortness of breath", US_national_yearly!$D:$AM, 10, FALSE), 1)</f>
        <v>7.7570825291123558E-5</v>
      </c>
      <c r="O7" s="7">
        <f>$B7 * IFERROR(VLOOKUP("LULUCF|NOx|Asthma symptoms shortness of breath", US_national_yearly!$D:$AM, 23, FALSE) / VLOOKUP("LULUCF|NOx|Asthma symptoms shortness of breath", US_national_yearly!$D:$AM, 10, FALSE), 1)</f>
        <v>7.787811801814631E-5</v>
      </c>
      <c r="P7" s="7">
        <f>$B7 * IFERROR(VLOOKUP("LULUCF|NOx|Asthma symptoms shortness of breath", US_national_yearly!$D:$AM, 24, FALSE) / VLOOKUP("LULUCF|NOx|Asthma symptoms shortness of breath", US_national_yearly!$D:$AM, 10, FALSE), 1)</f>
        <v>7.8185410745169062E-5</v>
      </c>
      <c r="Q7" s="7">
        <f>$B7 * IFERROR(VLOOKUP("LULUCF|NOx|Asthma symptoms shortness of breath", US_national_yearly!$D:$AM, 25, FALSE) / VLOOKUP("LULUCF|NOx|Asthma symptoms shortness of breath", US_national_yearly!$D:$AM, 10, FALSE), 1)</f>
        <v>7.8492703472191815E-5</v>
      </c>
      <c r="R7" s="7">
        <f>$B7 * IFERROR(VLOOKUP("LULUCF|NOx|Asthma symptoms shortness of breath", US_national_yearly!$D:$AM, 26, FALSE) / VLOOKUP("LULUCF|NOx|Asthma symptoms shortness of breath", US_national_yearly!$D:$AM, 10, FALSE), 1)</f>
        <v>7.879999619921458E-5</v>
      </c>
      <c r="S7" s="7">
        <f>$B7 * IFERROR(VLOOKUP("LULUCF|NOx|Asthma symptoms shortness of breath", US_national_yearly!$D:$AM, 27, FALSE) / VLOOKUP("LULUCF|NOx|Asthma symptoms shortness of breath", US_national_yearly!$D:$AM, 10, FALSE), 1)</f>
        <v>7.9201418373839563E-5</v>
      </c>
      <c r="T7" s="7">
        <f>$B7 * IFERROR(VLOOKUP("LULUCF|NOx|Asthma symptoms shortness of breath", US_national_yearly!$D:$AM, 28, FALSE) / VLOOKUP("LULUCF|NOx|Asthma symptoms shortness of breath", US_national_yearly!$D:$AM, 10, FALSE), 1)</f>
        <v>7.9602840548464573E-5</v>
      </c>
      <c r="U7" s="7">
        <f>$B7 * IFERROR(VLOOKUP("LULUCF|NOx|Asthma symptoms shortness of breath", US_national_yearly!$D:$AM, 29, FALSE) / VLOOKUP("LULUCF|NOx|Asthma symptoms shortness of breath", US_national_yearly!$D:$AM, 10, FALSE), 1)</f>
        <v>8.0004262723089569E-5</v>
      </c>
      <c r="V7" s="7">
        <f>$B7 * IFERROR(VLOOKUP("LULUCF|NOx|Asthma symptoms shortness of breath", US_national_yearly!$D:$AM, 30, FALSE) / VLOOKUP("LULUCF|NOx|Asthma symptoms shortness of breath", US_national_yearly!$D:$AM, 10, FALSE), 1)</f>
        <v>8.0405684897714538E-5</v>
      </c>
      <c r="W7" s="7">
        <f>$B7 * IFERROR(VLOOKUP("LULUCF|NOx|Asthma symptoms shortness of breath", US_national_yearly!$D:$AM, 31, FALSE) / VLOOKUP("LULUCF|NOx|Asthma symptoms shortness of breath", US_national_yearly!$D:$AM, 10, FALSE), 1)</f>
        <v>8.0807107072339534E-5</v>
      </c>
      <c r="X7" s="7">
        <f>$B7 * IFERROR(VLOOKUP("LULUCF|NOx|Asthma symptoms shortness of breath", US_national_yearly!$D:$AM, 32, FALSE) / VLOOKUP("LULUCF|NOx|Asthma symptoms shortness of breath", US_national_yearly!$D:$AM, 10, FALSE), 1)</f>
        <v>8.1180085950885398E-5</v>
      </c>
      <c r="Y7" s="7">
        <f>$B7 * IFERROR(VLOOKUP("LULUCF|NOx|Asthma symptoms shortness of breath", US_national_yearly!$D:$AM, 33, FALSE) / VLOOKUP("LULUCF|NOx|Asthma symptoms shortness of breath", US_national_yearly!$D:$AM, 10, FALSE), 1)</f>
        <v>8.1553064829431276E-5</v>
      </c>
      <c r="Z7" s="7">
        <f>$B7 * IFERROR(VLOOKUP("LULUCF|NOx|Asthma symptoms shortness of breath", US_national_yearly!$D:$AM, 34, FALSE) / VLOOKUP("LULUCF|NOx|Asthma symptoms shortness of breath", US_national_yearly!$D:$AM, 10, FALSE), 1)</f>
        <v>8.1926043707977167E-5</v>
      </c>
      <c r="AA7" s="7">
        <f>$B7 * IFERROR(VLOOKUP("LULUCF|NOx|Asthma symptoms shortness of breath", US_national_yearly!$D:$AM, 35, FALSE) / VLOOKUP("LULUCF|NOx|Asthma symptoms shortness of breath", US_national_yearly!$D:$AM, 10, FALSE), 1)</f>
        <v>8.2299022586523044E-5</v>
      </c>
      <c r="AB7" s="7">
        <f>$B7 * IFERROR(VLOOKUP("LULUCF|NOx|Asthma symptoms shortness of breath", US_national_yearly!$D:$AM, 36, FALSE) / VLOOKUP("LULUCF|NOx|Asthma symptoms shortness of breath", US_national_yearly!$D:$AM, 10, FALSE), 1)</f>
        <v>8.2672001465068908E-5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1.0777466669670089E-4</v>
      </c>
      <c r="C8" s="7">
        <f>$B8 * IFERROR(VLOOKUP("LULUCF|NOx|Asthma symptoms wheeze", US_national_yearly!$D:$AM, 11, FALSE) / VLOOKUP("LULUCF|NOx|Asthma symptoms wheeze", US_national_yearly!$D:$AM, 10, FALSE), 1)</f>
        <v>1.0924812259708166E-4</v>
      </c>
      <c r="D8" s="7">
        <f>$B8 * IFERROR(VLOOKUP("LULUCF|NOx|Asthma symptoms wheeze", US_national_yearly!$D:$AM, 12, FALSE) / VLOOKUP("LULUCF|NOx|Asthma symptoms wheeze", US_national_yearly!$D:$AM, 10, FALSE), 1)</f>
        <v>1.1072157849746248E-4</v>
      </c>
      <c r="E8" s="7">
        <f>$B8 * IFERROR(VLOOKUP("LULUCF|NOx|Asthma symptoms wheeze", US_national_yearly!$D:$AM, 13, FALSE) / VLOOKUP("LULUCF|NOx|Asthma symptoms wheeze", US_national_yearly!$D:$AM, 10, FALSE), 1)</f>
        <v>1.1219503439784325E-4</v>
      </c>
      <c r="F8" s="7">
        <f>$B8 * IFERROR(VLOOKUP("LULUCF|NOx|Asthma symptoms wheeze", US_national_yearly!$D:$AM, 14, FALSE) / VLOOKUP("LULUCF|NOx|Asthma symptoms wheeze", US_national_yearly!$D:$AM, 10, FALSE), 1)</f>
        <v>1.1366849029822403E-4</v>
      </c>
      <c r="G8" s="7">
        <f>$B8 * IFERROR(VLOOKUP("LULUCF|NOx|Asthma symptoms wheeze", US_national_yearly!$D:$AM, 15, FALSE) / VLOOKUP("LULUCF|NOx|Asthma symptoms wheeze", US_national_yearly!$D:$AM, 10, FALSE), 1)</f>
        <v>1.1484483893400298E-4</v>
      </c>
      <c r="H8" s="7">
        <f>$B8 * IFERROR(VLOOKUP("LULUCF|NOx|Asthma symptoms wheeze", US_national_yearly!$D:$AM, 16, FALSE) / VLOOKUP("LULUCF|NOx|Asthma symptoms wheeze", US_national_yearly!$D:$AM, 10, FALSE), 1)</f>
        <v>1.1602118756978195E-4</v>
      </c>
      <c r="I8" s="7">
        <f>$B8 * IFERROR(VLOOKUP("LULUCF|NOx|Asthma symptoms wheeze", US_national_yearly!$D:$AM, 17, FALSE) / VLOOKUP("LULUCF|NOx|Asthma symptoms wheeze", US_national_yearly!$D:$AM, 10, FALSE), 1)</f>
        <v>1.1642606995492485E-4</v>
      </c>
      <c r="J8" s="7">
        <f>$B8 * IFERROR(VLOOKUP("LULUCF|NOx|Asthma symptoms wheeze", US_national_yearly!$D:$AM, 18, FALSE) / VLOOKUP("LULUCF|NOx|Asthma symptoms wheeze", US_national_yearly!$D:$AM, 10, FALSE), 1)</f>
        <v>1.168309523400678E-4</v>
      </c>
      <c r="K8" s="7">
        <f>$B8 * IFERROR(VLOOKUP("LULUCF|NOx|Asthma symptoms wheeze", US_national_yearly!$D:$AM, 19, FALSE) / VLOOKUP("LULUCF|NOx|Asthma symptoms wheeze", US_national_yearly!$D:$AM, 10, FALSE), 1)</f>
        <v>1.1723583472521069E-4</v>
      </c>
      <c r="L8" s="7">
        <f>$B8 * IFERROR(VLOOKUP("LULUCF|NOx|Asthma symptoms wheeze", US_national_yearly!$D:$AM, 20, FALSE) / VLOOKUP("LULUCF|NOx|Asthma symptoms wheeze", US_national_yearly!$D:$AM, 10, FALSE), 1)</f>
        <v>1.1764071711035362E-4</v>
      </c>
      <c r="M8" s="7">
        <f>$B8 * IFERROR(VLOOKUP("LULUCF|NOx|Asthma symptoms wheeze", US_national_yearly!$D:$AM, 21, FALSE) / VLOOKUP("LULUCF|NOx|Asthma symptoms wheeze", US_national_yearly!$D:$AM, 10, FALSE), 1)</f>
        <v>1.1804559949549654E-4</v>
      </c>
      <c r="N8" s="7">
        <f>$B8 * IFERROR(VLOOKUP("LULUCF|NOx|Asthma symptoms wheeze", US_national_yearly!$D:$AM, 22, FALSE) / VLOOKUP("LULUCF|NOx|Asthma symptoms wheeze", US_national_yearly!$D:$AM, 10, FALSE), 1)</f>
        <v>1.185150907717428E-4</v>
      </c>
      <c r="O8" s="7">
        <f>$B8 * IFERROR(VLOOKUP("LULUCF|NOx|Asthma symptoms wheeze", US_national_yearly!$D:$AM, 23, FALSE) / VLOOKUP("LULUCF|NOx|Asthma symptoms wheeze", US_national_yearly!$D:$AM, 10, FALSE), 1)</f>
        <v>1.189845820479891E-4</v>
      </c>
      <c r="P8" s="7">
        <f>$B8 * IFERROR(VLOOKUP("LULUCF|NOx|Asthma symptoms wheeze", US_national_yearly!$D:$AM, 24, FALSE) / VLOOKUP("LULUCF|NOx|Asthma symptoms wheeze", US_national_yearly!$D:$AM, 10, FALSE), 1)</f>
        <v>1.1945407332423537E-4</v>
      </c>
      <c r="Q8" s="7">
        <f>$B8 * IFERROR(VLOOKUP("LULUCF|NOx|Asthma symptoms wheeze", US_national_yearly!$D:$AM, 25, FALSE) / VLOOKUP("LULUCF|NOx|Asthma symptoms wheeze", US_national_yearly!$D:$AM, 10, FALSE), 1)</f>
        <v>1.1992356460048165E-4</v>
      </c>
      <c r="R8" s="7">
        <f>$B8 * IFERROR(VLOOKUP("LULUCF|NOx|Asthma symptoms wheeze", US_national_yearly!$D:$AM, 26, FALSE) / VLOOKUP("LULUCF|NOx|Asthma symptoms wheeze", US_national_yearly!$D:$AM, 10, FALSE), 1)</f>
        <v>1.2039305587672792E-4</v>
      </c>
      <c r="S8" s="7">
        <f>$B8 * IFERROR(VLOOKUP("LULUCF|NOx|Asthma symptoms wheeze", US_national_yearly!$D:$AM, 27, FALSE) / VLOOKUP("LULUCF|NOx|Asthma symptoms wheeze", US_national_yearly!$D:$AM, 10, FALSE), 1)</f>
        <v>1.2100636101500572E-4</v>
      </c>
      <c r="T8" s="7">
        <f>$B8 * IFERROR(VLOOKUP("LULUCF|NOx|Asthma symptoms wheeze", US_national_yearly!$D:$AM, 28, FALSE) / VLOOKUP("LULUCF|NOx|Asthma symptoms wheeze", US_national_yearly!$D:$AM, 10, FALSE), 1)</f>
        <v>1.216196661532835E-4</v>
      </c>
      <c r="U8" s="7">
        <f>$B8 * IFERROR(VLOOKUP("LULUCF|NOx|Asthma symptoms wheeze", US_national_yearly!$D:$AM, 29, FALSE) / VLOOKUP("LULUCF|NOx|Asthma symptoms wheeze", US_national_yearly!$D:$AM, 10, FALSE), 1)</f>
        <v>1.2223297129156129E-4</v>
      </c>
      <c r="V8" s="7">
        <f>$B8 * IFERROR(VLOOKUP("LULUCF|NOx|Asthma symptoms wheeze", US_national_yearly!$D:$AM, 30, FALSE) / VLOOKUP("LULUCF|NOx|Asthma symptoms wheeze", US_national_yearly!$D:$AM, 10, FALSE), 1)</f>
        <v>1.2284627642983908E-4</v>
      </c>
      <c r="W8" s="7">
        <f>$B8 * IFERROR(VLOOKUP("LULUCF|NOx|Asthma symptoms wheeze", US_national_yearly!$D:$AM, 31, FALSE) / VLOOKUP("LULUCF|NOx|Asthma symptoms wheeze", US_national_yearly!$D:$AM, 10, FALSE), 1)</f>
        <v>1.2345958156811685E-4</v>
      </c>
      <c r="X8" s="7">
        <f>$B8 * IFERROR(VLOOKUP("LULUCF|NOx|Asthma symptoms wheeze", US_national_yearly!$D:$AM, 32, FALSE) / VLOOKUP("LULUCF|NOx|Asthma symptoms wheeze", US_national_yearly!$D:$AM, 10, FALSE), 1)</f>
        <v>1.2402943016446801E-4</v>
      </c>
      <c r="Y8" s="7">
        <f>$B8 * IFERROR(VLOOKUP("LULUCF|NOx|Asthma symptoms wheeze", US_national_yearly!$D:$AM, 33, FALSE) / VLOOKUP("LULUCF|NOx|Asthma symptoms wheeze", US_national_yearly!$D:$AM, 10, FALSE), 1)</f>
        <v>1.2459927876081912E-4</v>
      </c>
      <c r="Z8" s="7">
        <f>$B8 * IFERROR(VLOOKUP("LULUCF|NOx|Asthma symptoms wheeze", US_national_yearly!$D:$AM, 34, FALSE) / VLOOKUP("LULUCF|NOx|Asthma symptoms wheeze", US_national_yearly!$D:$AM, 10, FALSE), 1)</f>
        <v>1.2516912735717028E-4</v>
      </c>
      <c r="AA8" s="7">
        <f>$B8 * IFERROR(VLOOKUP("LULUCF|NOx|Asthma symptoms wheeze", US_national_yearly!$D:$AM, 35, FALSE) / VLOOKUP("LULUCF|NOx|Asthma symptoms wheeze", US_national_yearly!$D:$AM, 10, FALSE), 1)</f>
        <v>1.2573897595352142E-4</v>
      </c>
      <c r="AB8" s="7">
        <f>$B8 * IFERROR(VLOOKUP("LULUCF|NOx|Asthma symptoms wheeze", US_national_yearly!$D:$AM, 36, FALSE) / VLOOKUP("LULUCF|NOx|Asthma symptoms wheeze", US_national_yearly!$D:$AM, 10, FALSE), 1)</f>
        <v>1.2630882454987255E-4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1.382502795067895E-6</v>
      </c>
      <c r="C12" s="7">
        <f>$B12 * IFERROR(VLOOKUP("LULUCF|NOx|Respiratory hospital admissions", US_national_yearly!$D:$AM, 11, FALSE) / VLOOKUP("LULUCF|NOx|Respiratory hospital admissions", US_national_yearly!$D:$AM, 10, FALSE), 1)</f>
        <v>1.4169888637412604E-6</v>
      </c>
      <c r="D12" s="7">
        <f>$B12 * IFERROR(VLOOKUP("LULUCF|NOx|Respiratory hospital admissions", US_national_yearly!$D:$AM, 12, FALSE) / VLOOKUP("LULUCF|NOx|Respiratory hospital admissions", US_national_yearly!$D:$AM, 10, FALSE), 1)</f>
        <v>1.4514749324146261E-6</v>
      </c>
      <c r="E12" s="7">
        <f>$B12 * IFERROR(VLOOKUP("LULUCF|NOx|Respiratory hospital admissions", US_national_yearly!$D:$AM, 13, FALSE) / VLOOKUP("LULUCF|NOx|Respiratory hospital admissions", US_national_yearly!$D:$AM, 10, FALSE), 1)</f>
        <v>1.4859610010879918E-6</v>
      </c>
      <c r="F12" s="7">
        <f>$B12 * IFERROR(VLOOKUP("LULUCF|NOx|Respiratory hospital admissions", US_national_yearly!$D:$AM, 14, FALSE) / VLOOKUP("LULUCF|NOx|Respiratory hospital admissions", US_national_yearly!$D:$AM, 10, FALSE), 1)</f>
        <v>1.5204470697613575E-6</v>
      </c>
      <c r="G12" s="7">
        <f>$B12 * IFERROR(VLOOKUP("LULUCF|NOx|Respiratory hospital admissions", US_national_yearly!$D:$AM, 15, FALSE) / VLOOKUP("LULUCF|NOx|Respiratory hospital admissions", US_national_yearly!$D:$AM, 10, FALSE), 1)</f>
        <v>1.5534169251791531E-6</v>
      </c>
      <c r="H12" s="7">
        <f>$B12 * IFERROR(VLOOKUP("LULUCF|NOx|Respiratory hospital admissions", US_national_yearly!$D:$AM, 16, FALSE) / VLOOKUP("LULUCF|NOx|Respiratory hospital admissions", US_national_yearly!$D:$AM, 10, FALSE), 1)</f>
        <v>1.5863867805969487E-6</v>
      </c>
      <c r="I12" s="7">
        <f>$B12 * IFERROR(VLOOKUP("LULUCF|NOx|Respiratory hospital admissions", US_national_yearly!$D:$AM, 17, FALSE) / VLOOKUP("LULUCF|NOx|Respiratory hospital admissions", US_national_yearly!$D:$AM, 10, FALSE), 1)</f>
        <v>1.6143788656382915E-6</v>
      </c>
      <c r="J12" s="7">
        <f>$B12 * IFERROR(VLOOKUP("LULUCF|NOx|Respiratory hospital admissions", US_national_yearly!$D:$AM, 18, FALSE) / VLOOKUP("LULUCF|NOx|Respiratory hospital admissions", US_national_yearly!$D:$AM, 10, FALSE), 1)</f>
        <v>1.6423709506796341E-6</v>
      </c>
      <c r="K12" s="7">
        <f>$B12 * IFERROR(VLOOKUP("LULUCF|NOx|Respiratory hospital admissions", US_national_yearly!$D:$AM, 19, FALSE) / VLOOKUP("LULUCF|NOx|Respiratory hospital admissions", US_national_yearly!$D:$AM, 10, FALSE), 1)</f>
        <v>1.6703630357209769E-6</v>
      </c>
      <c r="L12" s="7">
        <f>$B12 * IFERROR(VLOOKUP("LULUCF|NOx|Respiratory hospital admissions", US_national_yearly!$D:$AM, 20, FALSE) / VLOOKUP("LULUCF|NOx|Respiratory hospital admissions", US_national_yearly!$D:$AM, 10, FALSE), 1)</f>
        <v>1.6983551207623196E-6</v>
      </c>
      <c r="M12" s="7">
        <f>$B12 * IFERROR(VLOOKUP("LULUCF|NOx|Respiratory hospital admissions", US_national_yearly!$D:$AM, 21, FALSE) / VLOOKUP("LULUCF|NOx|Respiratory hospital admissions", US_national_yearly!$D:$AM, 10, FALSE), 1)</f>
        <v>1.7263472058036624E-6</v>
      </c>
      <c r="N12" s="7">
        <f>$B12 * IFERROR(VLOOKUP("LULUCF|NOx|Respiratory hospital admissions", US_national_yearly!$D:$AM, 22, FALSE) / VLOOKUP("LULUCF|NOx|Respiratory hospital admissions", US_national_yearly!$D:$AM, 10, FALSE), 1)</f>
        <v>1.7450604186389564E-6</v>
      </c>
      <c r="O12" s="7">
        <f>$B12 * IFERROR(VLOOKUP("LULUCF|NOx|Respiratory hospital admissions", US_national_yearly!$D:$AM, 23, FALSE) / VLOOKUP("LULUCF|NOx|Respiratory hospital admissions", US_national_yearly!$D:$AM, 10, FALSE), 1)</f>
        <v>1.7637736314742511E-6</v>
      </c>
      <c r="P12" s="7">
        <f>$B12 * IFERROR(VLOOKUP("LULUCF|NOx|Respiratory hospital admissions", US_national_yearly!$D:$AM, 24, FALSE) / VLOOKUP("LULUCF|NOx|Respiratory hospital admissions", US_national_yearly!$D:$AM, 10, FALSE), 1)</f>
        <v>1.7824868443095454E-6</v>
      </c>
      <c r="Q12" s="7">
        <f>$B12 * IFERROR(VLOOKUP("LULUCF|NOx|Respiratory hospital admissions", US_national_yearly!$D:$AM, 25, FALSE) / VLOOKUP("LULUCF|NOx|Respiratory hospital admissions", US_national_yearly!$D:$AM, 10, FALSE), 1)</f>
        <v>1.8012000571448402E-6</v>
      </c>
      <c r="R12" s="7">
        <f>$B12 * IFERROR(VLOOKUP("LULUCF|NOx|Respiratory hospital admissions", US_national_yearly!$D:$AM, 26, FALSE) / VLOOKUP("LULUCF|NOx|Respiratory hospital admissions", US_national_yearly!$D:$AM, 10, FALSE), 1)</f>
        <v>1.8199132699801345E-6</v>
      </c>
      <c r="S12" s="7">
        <f>$B12 * IFERROR(VLOOKUP("LULUCF|NOx|Respiratory hospital admissions", US_national_yearly!$D:$AM, 27, FALSE) / VLOOKUP("LULUCF|NOx|Respiratory hospital admissions", US_national_yearly!$D:$AM, 10, FALSE), 1)</f>
        <v>1.8299393023479528E-6</v>
      </c>
      <c r="T12" s="7">
        <f>$B12 * IFERROR(VLOOKUP("LULUCF|NOx|Respiratory hospital admissions", US_national_yearly!$D:$AM, 28, FALSE) / VLOOKUP("LULUCF|NOx|Respiratory hospital admissions", US_national_yearly!$D:$AM, 10, FALSE), 1)</f>
        <v>1.8399653347157712E-6</v>
      </c>
      <c r="U12" s="7">
        <f>$B12 * IFERROR(VLOOKUP("LULUCF|NOx|Respiratory hospital admissions", US_national_yearly!$D:$AM, 29, FALSE) / VLOOKUP("LULUCF|NOx|Respiratory hospital admissions", US_national_yearly!$D:$AM, 10, FALSE), 1)</f>
        <v>1.8499913670835897E-6</v>
      </c>
      <c r="V12" s="7">
        <f>$B12 * IFERROR(VLOOKUP("LULUCF|NOx|Respiratory hospital admissions", US_national_yearly!$D:$AM, 30, FALSE) / VLOOKUP("LULUCF|NOx|Respiratory hospital admissions", US_national_yearly!$D:$AM, 10, FALSE), 1)</f>
        <v>1.8600173994514079E-6</v>
      </c>
      <c r="W12" s="7">
        <f>$B12 * IFERROR(VLOOKUP("LULUCF|NOx|Respiratory hospital admissions", US_national_yearly!$D:$AM, 31, FALSE) / VLOOKUP("LULUCF|NOx|Respiratory hospital admissions", US_national_yearly!$D:$AM, 10, FALSE), 1)</f>
        <v>1.8700434318192265E-6</v>
      </c>
      <c r="X12" s="7">
        <f>$B12 * IFERROR(VLOOKUP("LULUCF|NOx|Respiratory hospital admissions", US_national_yearly!$D:$AM, 32, FALSE) / VLOOKUP("LULUCF|NOx|Respiratory hospital admissions", US_national_yearly!$D:$AM, 10, FALSE), 1)</f>
        <v>1.8768949223957469E-6</v>
      </c>
      <c r="Y12" s="7">
        <f>$B12 * IFERROR(VLOOKUP("LULUCF|NOx|Respiratory hospital admissions", US_national_yearly!$D:$AM, 33, FALSE) / VLOOKUP("LULUCF|NOx|Respiratory hospital admissions", US_national_yearly!$D:$AM, 10, FALSE), 1)</f>
        <v>1.8837464129722675E-6</v>
      </c>
      <c r="Z12" s="7">
        <f>$B12 * IFERROR(VLOOKUP("LULUCF|NOx|Respiratory hospital admissions", US_national_yearly!$D:$AM, 34, FALSE) / VLOOKUP("LULUCF|NOx|Respiratory hospital admissions", US_national_yearly!$D:$AM, 10, FALSE), 1)</f>
        <v>1.8905979035487883E-6</v>
      </c>
      <c r="AA12" s="7">
        <f>$B12 * IFERROR(VLOOKUP("LULUCF|NOx|Respiratory hospital admissions", US_national_yearly!$D:$AM, 35, FALSE) / VLOOKUP("LULUCF|NOx|Respiratory hospital admissions", US_national_yearly!$D:$AM, 10, FALSE), 1)</f>
        <v>1.8974493941253088E-6</v>
      </c>
      <c r="AB12" s="7">
        <f>$B12 * IFERROR(VLOOKUP("LULUCF|NOx|Respiratory hospital admissions", US_national_yearly!$D:$AM, 36, FALSE) / VLOOKUP("LULUCF|NOx|Respiratory hospital admissions", US_national_yearly!$D:$AM, 10, FALSE), 1)</f>
        <v>1.9043008847018292E-6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5.8631682543534383E-6</v>
      </c>
      <c r="C13" s="7">
        <f>$B13 * IFERROR(VLOOKUP("LULUCF|NOx|Non-fatal heart attacks", US_national_yearly!$D:$AM, 11, FALSE) / VLOOKUP("LULUCF|NOx|Non-fatal heart attacks", US_national_yearly!$D:$AM, 10, FALSE), 1)</f>
        <v>6.0307910689645826E-6</v>
      </c>
      <c r="D13" s="7">
        <f>$B13 * IFERROR(VLOOKUP("LULUCF|NOx|Non-fatal heart attacks", US_national_yearly!$D:$AM, 12, FALSE) / VLOOKUP("LULUCF|NOx|Non-fatal heart attacks", US_national_yearly!$D:$AM, 10, FALSE), 1)</f>
        <v>6.1984138835757261E-6</v>
      </c>
      <c r="E13" s="7">
        <f>$B13 * IFERROR(VLOOKUP("LULUCF|NOx|Non-fatal heart attacks", US_national_yearly!$D:$AM, 13, FALSE) / VLOOKUP("LULUCF|NOx|Non-fatal heart attacks", US_national_yearly!$D:$AM, 10, FALSE), 1)</f>
        <v>6.3660366981868686E-6</v>
      </c>
      <c r="F13" s="7">
        <f>$B13 * IFERROR(VLOOKUP("LULUCF|NOx|Non-fatal heart attacks", US_national_yearly!$D:$AM, 14, FALSE) / VLOOKUP("LULUCF|NOx|Non-fatal heart attacks", US_national_yearly!$D:$AM, 10, FALSE), 1)</f>
        <v>6.5336595127980129E-6</v>
      </c>
      <c r="G13" s="7">
        <f>$B13 * IFERROR(VLOOKUP("LULUCF|NOx|Non-fatal heart attacks", US_national_yearly!$D:$AM, 15, FALSE) / VLOOKUP("LULUCF|NOx|Non-fatal heart attacks", US_national_yearly!$D:$AM, 10, FALSE), 1)</f>
        <v>6.6903026846737335E-6</v>
      </c>
      <c r="H13" s="7">
        <f>$B13 * IFERROR(VLOOKUP("LULUCF|NOx|Non-fatal heart attacks", US_national_yearly!$D:$AM, 16, FALSE) / VLOOKUP("LULUCF|NOx|Non-fatal heart attacks", US_national_yearly!$D:$AM, 10, FALSE), 1)</f>
        <v>6.8469458565494541E-6</v>
      </c>
      <c r="I13" s="7">
        <f>$B13 * IFERROR(VLOOKUP("LULUCF|NOx|Non-fatal heart attacks", US_national_yearly!$D:$AM, 17, FALSE) / VLOOKUP("LULUCF|NOx|Non-fatal heart attacks", US_national_yearly!$D:$AM, 10, FALSE), 1)</f>
        <v>6.9704410915492232E-6</v>
      </c>
      <c r="J13" s="7">
        <f>$B13 * IFERROR(VLOOKUP("LULUCF|NOx|Non-fatal heart attacks", US_national_yearly!$D:$AM, 18, FALSE) / VLOOKUP("LULUCF|NOx|Non-fatal heart attacks", US_national_yearly!$D:$AM, 10, FALSE), 1)</f>
        <v>7.0939363265489932E-6</v>
      </c>
      <c r="K13" s="7">
        <f>$B13 * IFERROR(VLOOKUP("LULUCF|NOx|Non-fatal heart attacks", US_national_yearly!$D:$AM, 19, FALSE) / VLOOKUP("LULUCF|NOx|Non-fatal heart attacks", US_national_yearly!$D:$AM, 10, FALSE), 1)</f>
        <v>7.2174315615487581E-6</v>
      </c>
      <c r="L13" s="7">
        <f>$B13 * IFERROR(VLOOKUP("LULUCF|NOx|Non-fatal heart attacks", US_national_yearly!$D:$AM, 20, FALSE) / VLOOKUP("LULUCF|NOx|Non-fatal heart attacks", US_national_yearly!$D:$AM, 10, FALSE), 1)</f>
        <v>7.3409267965485323E-6</v>
      </c>
      <c r="M13" s="7">
        <f>$B13 * IFERROR(VLOOKUP("LULUCF|NOx|Non-fatal heart attacks", US_national_yearly!$D:$AM, 21, FALSE) / VLOOKUP("LULUCF|NOx|Non-fatal heart attacks", US_national_yearly!$D:$AM, 10, FALSE), 1)</f>
        <v>7.4644220315482997E-6</v>
      </c>
      <c r="N13" s="7">
        <f>$B13 * IFERROR(VLOOKUP("LULUCF|NOx|Non-fatal heart attacks", US_national_yearly!$D:$AM, 22, FALSE) / VLOOKUP("LULUCF|NOx|Non-fatal heart attacks", US_national_yearly!$D:$AM, 10, FALSE), 1)</f>
        <v>7.5387205101120053E-6</v>
      </c>
      <c r="O13" s="7">
        <f>$B13 * IFERROR(VLOOKUP("LULUCF|NOx|Non-fatal heart attacks", US_national_yearly!$D:$AM, 23, FALSE) / VLOOKUP("LULUCF|NOx|Non-fatal heart attacks", US_national_yearly!$D:$AM, 10, FALSE), 1)</f>
        <v>7.6130189886757117E-6</v>
      </c>
      <c r="P13" s="7">
        <f>$B13 * IFERROR(VLOOKUP("LULUCF|NOx|Non-fatal heart attacks", US_national_yearly!$D:$AM, 24, FALSE) / VLOOKUP("LULUCF|NOx|Non-fatal heart attacks", US_national_yearly!$D:$AM, 10, FALSE), 1)</f>
        <v>7.6873174672394164E-6</v>
      </c>
      <c r="Q13" s="7">
        <f>$B13 * IFERROR(VLOOKUP("LULUCF|NOx|Non-fatal heart attacks", US_national_yearly!$D:$AM, 25, FALSE) / VLOOKUP("LULUCF|NOx|Non-fatal heart attacks", US_national_yearly!$D:$AM, 10, FALSE), 1)</f>
        <v>7.7616159458031228E-6</v>
      </c>
      <c r="R13" s="7">
        <f>$B13 * IFERROR(VLOOKUP("LULUCF|NOx|Non-fatal heart attacks", US_national_yearly!$D:$AM, 26, FALSE) / VLOOKUP("LULUCF|NOx|Non-fatal heart attacks", US_national_yearly!$D:$AM, 10, FALSE), 1)</f>
        <v>7.8359144243668276E-6</v>
      </c>
      <c r="S13" s="7">
        <f>$B13 * IFERROR(VLOOKUP("LULUCF|NOx|Non-fatal heart attacks", US_national_yearly!$D:$AM, 27, FALSE) / VLOOKUP("LULUCF|NOx|Non-fatal heart attacks", US_national_yearly!$D:$AM, 10, FALSE), 1)</f>
        <v>7.8696167281192425E-6</v>
      </c>
      <c r="T13" s="7">
        <f>$B13 * IFERROR(VLOOKUP("LULUCF|NOx|Non-fatal heart attacks", US_national_yearly!$D:$AM, 28, FALSE) / VLOOKUP("LULUCF|NOx|Non-fatal heart attacks", US_national_yearly!$D:$AM, 10, FALSE), 1)</f>
        <v>7.9033190318716574E-6</v>
      </c>
      <c r="U13" s="7">
        <f>$B13 * IFERROR(VLOOKUP("LULUCF|NOx|Non-fatal heart attacks", US_national_yearly!$D:$AM, 29, FALSE) / VLOOKUP("LULUCF|NOx|Non-fatal heart attacks", US_national_yearly!$D:$AM, 10, FALSE), 1)</f>
        <v>7.9370213356240723E-6</v>
      </c>
      <c r="V13" s="7">
        <f>$B13 * IFERROR(VLOOKUP("LULUCF|NOx|Non-fatal heart attacks", US_national_yearly!$D:$AM, 30, FALSE) / VLOOKUP("LULUCF|NOx|Non-fatal heart attacks", US_national_yearly!$D:$AM, 10, FALSE), 1)</f>
        <v>7.9707236393764872E-6</v>
      </c>
      <c r="W13" s="7">
        <f>$B13 * IFERROR(VLOOKUP("LULUCF|NOx|Non-fatal heart attacks", US_national_yearly!$D:$AM, 31, FALSE) / VLOOKUP("LULUCF|NOx|Non-fatal heart attacks", US_national_yearly!$D:$AM, 10, FALSE), 1)</f>
        <v>8.0044259431289004E-6</v>
      </c>
      <c r="X13" s="7">
        <f>$B13 * IFERROR(VLOOKUP("LULUCF|NOx|Non-fatal heart attacks", US_national_yearly!$D:$AM, 32, FALSE) / VLOOKUP("LULUCF|NOx|Non-fatal heart attacks", US_national_yearly!$D:$AM, 10, FALSE), 1)</f>
        <v>8.0269475958511776E-6</v>
      </c>
      <c r="Y13" s="7">
        <f>$B13 * IFERROR(VLOOKUP("LULUCF|NOx|Non-fatal heart attacks", US_national_yearly!$D:$AM, 33, FALSE) / VLOOKUP("LULUCF|NOx|Non-fatal heart attacks", US_national_yearly!$D:$AM, 10, FALSE), 1)</f>
        <v>8.0494692485734549E-6</v>
      </c>
      <c r="Z13" s="7">
        <f>$B13 * IFERROR(VLOOKUP("LULUCF|NOx|Non-fatal heart attacks", US_national_yearly!$D:$AM, 34, FALSE) / VLOOKUP("LULUCF|NOx|Non-fatal heart attacks", US_national_yearly!$D:$AM, 10, FALSE), 1)</f>
        <v>8.0719909012957304E-6</v>
      </c>
      <c r="AA13" s="7">
        <f>$B13 * IFERROR(VLOOKUP("LULUCF|NOx|Non-fatal heart attacks", US_national_yearly!$D:$AM, 35, FALSE) / VLOOKUP("LULUCF|NOx|Non-fatal heart attacks", US_national_yearly!$D:$AM, 10, FALSE), 1)</f>
        <v>8.0945125540180077E-6</v>
      </c>
      <c r="AB13" s="7">
        <f>$B13 * IFERROR(VLOOKUP("LULUCF|NOx|Non-fatal heart attacks", US_national_yearly!$D:$AM, 36, FALSE) / VLOOKUP("LULUCF|NOx|Non-fatal heart attacks", US_national_yearly!$D:$AM, 10, FALSE), 1)</f>
        <v>8.1170342067402849E-6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5.7428457427548506E-3</v>
      </c>
      <c r="C14" s="7">
        <f>$B14 * IFERROR(VLOOKUP("LULUCF|NOx|Minor restricted activity days", US_national_yearly!$D:$AM, 11, FALSE) / VLOOKUP("LULUCF|NOx|Minor restricted activity days", US_national_yearly!$D:$AM, 10, FALSE), 1)</f>
        <v>5.7516504890349545E-3</v>
      </c>
      <c r="D14" s="7">
        <f>$B14 * IFERROR(VLOOKUP("LULUCF|NOx|Minor restricted activity days", US_national_yearly!$D:$AM, 12, FALSE) / VLOOKUP("LULUCF|NOx|Minor restricted activity days", US_national_yearly!$D:$AM, 10, FALSE), 1)</f>
        <v>5.7604552353150602E-3</v>
      </c>
      <c r="E14" s="7">
        <f>$B14 * IFERROR(VLOOKUP("LULUCF|NOx|Minor restricted activity days", US_national_yearly!$D:$AM, 13, FALSE) / VLOOKUP("LULUCF|NOx|Minor restricted activity days", US_national_yearly!$D:$AM, 10, FALSE), 1)</f>
        <v>5.7692599815951651E-3</v>
      </c>
      <c r="F14" s="7">
        <f>$B14 * IFERROR(VLOOKUP("LULUCF|NOx|Minor restricted activity days", US_national_yearly!$D:$AM, 14, FALSE) / VLOOKUP("LULUCF|NOx|Minor restricted activity days", US_national_yearly!$D:$AM, 10, FALSE), 1)</f>
        <v>5.778064727875269E-3</v>
      </c>
      <c r="G14" s="7">
        <f>$B14 * IFERROR(VLOOKUP("LULUCF|NOx|Minor restricted activity days", US_national_yearly!$D:$AM, 15, FALSE) / VLOOKUP("LULUCF|NOx|Minor restricted activity days", US_national_yearly!$D:$AM, 10, FALSE), 1)</f>
        <v>5.7939640039474417E-3</v>
      </c>
      <c r="H14" s="7">
        <f>$B14 * IFERROR(VLOOKUP("LULUCF|NOx|Minor restricted activity days", US_national_yearly!$D:$AM, 16, FALSE) / VLOOKUP("LULUCF|NOx|Minor restricted activity days", US_national_yearly!$D:$AM, 10, FALSE), 1)</f>
        <v>5.8098632800196136E-3</v>
      </c>
      <c r="I14" s="7">
        <f>$B14 * IFERROR(VLOOKUP("LULUCF|NOx|Minor restricted activity days", US_national_yearly!$D:$AM, 17, FALSE) / VLOOKUP("LULUCF|NOx|Minor restricted activity days", US_national_yearly!$D:$AM, 10, FALSE), 1)</f>
        <v>5.8409616352943497E-3</v>
      </c>
      <c r="J14" s="7">
        <f>$B14 * IFERROR(VLOOKUP("LULUCF|NOx|Minor restricted activity days", US_national_yearly!$D:$AM, 18, FALSE) / VLOOKUP("LULUCF|NOx|Minor restricted activity days", US_national_yearly!$D:$AM, 10, FALSE), 1)</f>
        <v>5.872059990569084E-3</v>
      </c>
      <c r="K14" s="7">
        <f>$B14 * IFERROR(VLOOKUP("LULUCF|NOx|Minor restricted activity days", US_national_yearly!$D:$AM, 19, FALSE) / VLOOKUP("LULUCF|NOx|Minor restricted activity days", US_national_yearly!$D:$AM, 10, FALSE), 1)</f>
        <v>5.9031583458438201E-3</v>
      </c>
      <c r="L14" s="7">
        <f>$B14 * IFERROR(VLOOKUP("LULUCF|NOx|Minor restricted activity days", US_national_yearly!$D:$AM, 20, FALSE) / VLOOKUP("LULUCF|NOx|Minor restricted activity days", US_national_yearly!$D:$AM, 10, FALSE), 1)</f>
        <v>5.9342567011185553E-3</v>
      </c>
      <c r="M14" s="7">
        <f>$B14 * IFERROR(VLOOKUP("LULUCF|NOx|Minor restricted activity days", US_national_yearly!$D:$AM, 21, FALSE) / VLOOKUP("LULUCF|NOx|Minor restricted activity days", US_national_yearly!$D:$AM, 10, FALSE), 1)</f>
        <v>5.9653550563932914E-3</v>
      </c>
      <c r="N14" s="7">
        <f>$B14 * IFERROR(VLOOKUP("LULUCF|NOx|Minor restricted activity days", US_national_yearly!$D:$AM, 22, FALSE) / VLOOKUP("LULUCF|NOx|Minor restricted activity days", US_national_yearly!$D:$AM, 10, FALSE), 1)</f>
        <v>6.009880849747384E-3</v>
      </c>
      <c r="O14" s="7">
        <f>$B14 * IFERROR(VLOOKUP("LULUCF|NOx|Minor restricted activity days", US_national_yearly!$D:$AM, 23, FALSE) / VLOOKUP("LULUCF|NOx|Minor restricted activity days", US_national_yearly!$D:$AM, 10, FALSE), 1)</f>
        <v>6.0544066431014766E-3</v>
      </c>
      <c r="P14" s="7">
        <f>$B14 * IFERROR(VLOOKUP("LULUCF|NOx|Minor restricted activity days", US_national_yearly!$D:$AM, 24, FALSE) / VLOOKUP("LULUCF|NOx|Minor restricted activity days", US_national_yearly!$D:$AM, 10, FALSE), 1)</f>
        <v>6.0989324364555692E-3</v>
      </c>
      <c r="Q14" s="7">
        <f>$B14 * IFERROR(VLOOKUP("LULUCF|NOx|Minor restricted activity days", US_national_yearly!$D:$AM, 25, FALSE) / VLOOKUP("LULUCF|NOx|Minor restricted activity days", US_national_yearly!$D:$AM, 10, FALSE), 1)</f>
        <v>6.1434582298096618E-3</v>
      </c>
      <c r="R14" s="7">
        <f>$B14 * IFERROR(VLOOKUP("LULUCF|NOx|Minor restricted activity days", US_national_yearly!$D:$AM, 26, FALSE) / VLOOKUP("LULUCF|NOx|Minor restricted activity days", US_national_yearly!$D:$AM, 10, FALSE), 1)</f>
        <v>6.1879840231637544E-3</v>
      </c>
      <c r="S14" s="7">
        <f>$B14 * IFERROR(VLOOKUP("LULUCF|NOx|Minor restricted activity days", US_national_yearly!$D:$AM, 27, FALSE) / VLOOKUP("LULUCF|NOx|Minor restricted activity days", US_national_yearly!$D:$AM, 10, FALSE), 1)</f>
        <v>6.2325004550650943E-3</v>
      </c>
      <c r="T14" s="7">
        <f>$B14 * IFERROR(VLOOKUP("LULUCF|NOx|Minor restricted activity days", US_national_yearly!$D:$AM, 28, FALSE) / VLOOKUP("LULUCF|NOx|Minor restricted activity days", US_national_yearly!$D:$AM, 10, FALSE), 1)</f>
        <v>6.2770168869664333E-3</v>
      </c>
      <c r="U14" s="7">
        <f>$B14 * IFERROR(VLOOKUP("LULUCF|NOx|Minor restricted activity days", US_national_yearly!$D:$AM, 29, FALSE) / VLOOKUP("LULUCF|NOx|Minor restricted activity days", US_national_yearly!$D:$AM, 10, FALSE), 1)</f>
        <v>6.321533318867774E-3</v>
      </c>
      <c r="V14" s="7">
        <f>$B14 * IFERROR(VLOOKUP("LULUCF|NOx|Minor restricted activity days", US_national_yearly!$D:$AM, 30, FALSE) / VLOOKUP("LULUCF|NOx|Minor restricted activity days", US_national_yearly!$D:$AM, 10, FALSE), 1)</f>
        <v>6.3660497507691139E-3</v>
      </c>
      <c r="W14" s="7">
        <f>$B14 * IFERROR(VLOOKUP("LULUCF|NOx|Minor restricted activity days", US_national_yearly!$D:$AM, 31, FALSE) / VLOOKUP("LULUCF|NOx|Minor restricted activity days", US_national_yearly!$D:$AM, 10, FALSE), 1)</f>
        <v>6.4105661826704538E-3</v>
      </c>
      <c r="X14" s="7">
        <f>$B14 * IFERROR(VLOOKUP("LULUCF|NOx|Minor restricted activity days", US_national_yearly!$D:$AM, 32, FALSE) / VLOOKUP("LULUCF|NOx|Minor restricted activity days", US_national_yearly!$D:$AM, 10, FALSE), 1)</f>
        <v>6.4482031299526203E-3</v>
      </c>
      <c r="Y14" s="7">
        <f>$B14 * IFERROR(VLOOKUP("LULUCF|NOx|Minor restricted activity days", US_national_yearly!$D:$AM, 33, FALSE) / VLOOKUP("LULUCF|NOx|Minor restricted activity days", US_national_yearly!$D:$AM, 10, FALSE), 1)</f>
        <v>6.4858400772347877E-3</v>
      </c>
      <c r="Z14" s="7">
        <f>$B14 * IFERROR(VLOOKUP("LULUCF|NOx|Minor restricted activity days", US_national_yearly!$D:$AM, 34, FALSE) / VLOOKUP("LULUCF|NOx|Minor restricted activity days", US_national_yearly!$D:$AM, 10, FALSE), 1)</f>
        <v>6.5234770245169542E-3</v>
      </c>
      <c r="AA14" s="7">
        <f>$B14 * IFERROR(VLOOKUP("LULUCF|NOx|Minor restricted activity days", US_national_yearly!$D:$AM, 35, FALSE) / VLOOKUP("LULUCF|NOx|Minor restricted activity days", US_national_yearly!$D:$AM, 10, FALSE), 1)</f>
        <v>6.5611139717991216E-3</v>
      </c>
      <c r="AB14" s="7">
        <f>$B14 * IFERROR(VLOOKUP("LULUCF|NOx|Minor restricted activity days", US_national_yearly!$D:$AM, 36, FALSE) / VLOOKUP("LULUCF|NOx|Minor restricted activity days", US_national_yearly!$D:$AM, 10, FALSE), 1)</f>
        <v>6.5987509190812881E-3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9.7495921743919335E-4</v>
      </c>
      <c r="C15" s="7">
        <f>$B15 * IFERROR(VLOOKUP("LULUCF|NOx|Work loss days", US_national_yearly!$D:$AM, 11, FALSE) / VLOOKUP("LULUCF|NOx|Work loss days", US_national_yearly!$D:$AM, 10, FALSE), 1)</f>
        <v>9.7712796176889407E-4</v>
      </c>
      <c r="D15" s="7">
        <f>$B15 * IFERROR(VLOOKUP("LULUCF|NOx|Work loss days", US_national_yearly!$D:$AM, 12, FALSE) / VLOOKUP("LULUCF|NOx|Work loss days", US_national_yearly!$D:$AM, 10, FALSE), 1)</f>
        <v>9.7929670609859512E-4</v>
      </c>
      <c r="E15" s="7">
        <f>$B15 * IFERROR(VLOOKUP("LULUCF|NOx|Work loss days", US_national_yearly!$D:$AM, 13, FALSE) / VLOOKUP("LULUCF|NOx|Work loss days", US_national_yearly!$D:$AM, 10, FALSE), 1)</f>
        <v>9.8146545042829573E-4</v>
      </c>
      <c r="F15" s="7">
        <f>$B15 * IFERROR(VLOOKUP("LULUCF|NOx|Work loss days", US_national_yearly!$D:$AM, 14, FALSE) / VLOOKUP("LULUCF|NOx|Work loss days", US_national_yearly!$D:$AM, 10, FALSE), 1)</f>
        <v>9.8363419475799678E-4</v>
      </c>
      <c r="G15" s="7">
        <f>$B15 * IFERROR(VLOOKUP("LULUCF|NOx|Work loss days", US_national_yearly!$D:$AM, 15, FALSE) / VLOOKUP("LULUCF|NOx|Work loss days", US_national_yearly!$D:$AM, 10, FALSE), 1)</f>
        <v>9.8680057997971196E-4</v>
      </c>
      <c r="H15" s="7">
        <f>$B15 * IFERROR(VLOOKUP("LULUCF|NOx|Work loss days", US_national_yearly!$D:$AM, 16, FALSE) / VLOOKUP("LULUCF|NOx|Work loss days", US_national_yearly!$D:$AM, 10, FALSE), 1)</f>
        <v>9.8996696520142736E-4</v>
      </c>
      <c r="I15" s="7">
        <f>$B15 * IFERROR(VLOOKUP("LULUCF|NOx|Work loss days", US_national_yearly!$D:$AM, 17, FALSE) / VLOOKUP("LULUCF|NOx|Work loss days", US_national_yearly!$D:$AM, 10, FALSE), 1)</f>
        <v>9.9509633765450635E-4</v>
      </c>
      <c r="J15" s="7">
        <f>$B15 * IFERROR(VLOOKUP("LULUCF|NOx|Work loss days", US_national_yearly!$D:$AM, 18, FALSE) / VLOOKUP("LULUCF|NOx|Work loss days", US_national_yearly!$D:$AM, 10, FALSE), 1)</f>
        <v>1.0002257101075858E-3</v>
      </c>
      <c r="K15" s="7">
        <f>$B15 * IFERROR(VLOOKUP("LULUCF|NOx|Work loss days", US_national_yearly!$D:$AM, 19, FALSE) / VLOOKUP("LULUCF|NOx|Work loss days", US_national_yearly!$D:$AM, 10, FALSE), 1)</f>
        <v>1.0053550825606648E-3</v>
      </c>
      <c r="L15" s="7">
        <f>$B15 * IFERROR(VLOOKUP("LULUCF|NOx|Work loss days", US_national_yearly!$D:$AM, 20, FALSE) / VLOOKUP("LULUCF|NOx|Work loss days", US_national_yearly!$D:$AM, 10, FALSE), 1)</f>
        <v>1.0104844550137438E-3</v>
      </c>
      <c r="M15" s="7">
        <f>$B15 * IFERROR(VLOOKUP("LULUCF|NOx|Work loss days", US_national_yearly!$D:$AM, 21, FALSE) / VLOOKUP("LULUCF|NOx|Work loss days", US_national_yearly!$D:$AM, 10, FALSE), 1)</f>
        <v>1.0156138274668232E-3</v>
      </c>
      <c r="N15" s="7">
        <f>$B15 * IFERROR(VLOOKUP("LULUCF|NOx|Work loss days", US_national_yearly!$D:$AM, 22, FALSE) / VLOOKUP("LULUCF|NOx|Work loss days", US_national_yearly!$D:$AM, 10, FALSE), 1)</f>
        <v>1.0222893909621919E-3</v>
      </c>
      <c r="O15" s="7">
        <f>$B15 * IFERROR(VLOOKUP("LULUCF|NOx|Work loss days", US_national_yearly!$D:$AM, 23, FALSE) / VLOOKUP("LULUCF|NOx|Work loss days", US_national_yearly!$D:$AM, 10, FALSE), 1)</f>
        <v>1.0289649544575606E-3</v>
      </c>
      <c r="P15" s="7">
        <f>$B15 * IFERROR(VLOOKUP("LULUCF|NOx|Work loss days", US_national_yearly!$D:$AM, 24, FALSE) / VLOOKUP("LULUCF|NOx|Work loss days", US_national_yearly!$D:$AM, 10, FALSE), 1)</f>
        <v>1.0356405179529292E-3</v>
      </c>
      <c r="Q15" s="7">
        <f>$B15 * IFERROR(VLOOKUP("LULUCF|NOx|Work loss days", US_national_yearly!$D:$AM, 25, FALSE) / VLOOKUP("LULUCF|NOx|Work loss days", US_national_yearly!$D:$AM, 10, FALSE), 1)</f>
        <v>1.0423160814482977E-3</v>
      </c>
      <c r="R15" s="7">
        <f>$B15 * IFERROR(VLOOKUP("LULUCF|NOx|Work loss days", US_national_yearly!$D:$AM, 26, FALSE) / VLOOKUP("LULUCF|NOx|Work loss days", US_national_yearly!$D:$AM, 10, FALSE), 1)</f>
        <v>1.0489916449436668E-3</v>
      </c>
      <c r="S15" s="7">
        <f>$B15 * IFERROR(VLOOKUP("LULUCF|NOx|Work loss days", US_national_yearly!$D:$AM, 27, FALSE) / VLOOKUP("LULUCF|NOx|Work loss days", US_national_yearly!$D:$AM, 10, FALSE), 1)</f>
        <v>1.0564340446900719E-3</v>
      </c>
      <c r="T15" s="7">
        <f>$B15 * IFERROR(VLOOKUP("LULUCF|NOx|Work loss days", US_national_yearly!$D:$AM, 28, FALSE) / VLOOKUP("LULUCF|NOx|Work loss days", US_national_yearly!$D:$AM, 10, FALSE), 1)</f>
        <v>1.063876444436477E-3</v>
      </c>
      <c r="U15" s="7">
        <f>$B15 * IFERROR(VLOOKUP("LULUCF|NOx|Work loss days", US_national_yearly!$D:$AM, 29, FALSE) / VLOOKUP("LULUCF|NOx|Work loss days", US_national_yearly!$D:$AM, 10, FALSE), 1)</f>
        <v>1.0713188441828822E-3</v>
      </c>
      <c r="V15" s="7">
        <f>$B15 * IFERROR(VLOOKUP("LULUCF|NOx|Work loss days", US_national_yearly!$D:$AM, 30, FALSE) / VLOOKUP("LULUCF|NOx|Work loss days", US_national_yearly!$D:$AM, 10, FALSE), 1)</f>
        <v>1.0787612439292873E-3</v>
      </c>
      <c r="W15" s="7">
        <f>$B15 * IFERROR(VLOOKUP("LULUCF|NOx|Work loss days", US_national_yearly!$D:$AM, 31, FALSE) / VLOOKUP("LULUCF|NOx|Work loss days", US_national_yearly!$D:$AM, 10, FALSE), 1)</f>
        <v>1.0862036436756926E-3</v>
      </c>
      <c r="X15" s="7">
        <f>$B15 * IFERROR(VLOOKUP("LULUCF|NOx|Work loss days", US_national_yearly!$D:$AM, 32, FALSE) / VLOOKUP("LULUCF|NOx|Work loss days", US_national_yearly!$D:$AM, 10, FALSE), 1)</f>
        <v>1.0926632498510756E-3</v>
      </c>
      <c r="Y15" s="7">
        <f>$B15 * IFERROR(VLOOKUP("LULUCF|NOx|Work loss days", US_national_yearly!$D:$AM, 33, FALSE) / VLOOKUP("LULUCF|NOx|Work loss days", US_national_yearly!$D:$AM, 10, FALSE), 1)</f>
        <v>1.0991228560264588E-3</v>
      </c>
      <c r="Z15" s="7">
        <f>$B15 * IFERROR(VLOOKUP("LULUCF|NOx|Work loss days", US_national_yearly!$D:$AM, 34, FALSE) / VLOOKUP("LULUCF|NOx|Work loss days", US_national_yearly!$D:$AM, 10, FALSE), 1)</f>
        <v>1.1055824622018418E-3</v>
      </c>
      <c r="AA15" s="7">
        <f>$B15 * IFERROR(VLOOKUP("LULUCF|NOx|Work loss days", US_national_yearly!$D:$AM, 35, FALSE) / VLOOKUP("LULUCF|NOx|Work loss days", US_national_yearly!$D:$AM, 10, FALSE), 1)</f>
        <v>1.112042068377225E-3</v>
      </c>
      <c r="AB15" s="7">
        <f>$B15 * IFERROR(VLOOKUP("LULUCF|NOx|Work loss days", US_national_yearly!$D:$AM, 36, FALSE) / VLOOKUP("LULUCF|NOx|Work loss days", US_national_yearly!$D:$AM, 10, FALSE), 1)</f>
        <v>1.1185016745526083E-3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1.6894659391866682E-6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1.739110273607255E-6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1.7887546080278416E-6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1.8383989424484282E-6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1.888043276869015E-6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1.9351971846566996E-6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1.9823510924443843E-6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2.0220038911751657E-6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2.0616566899059466E-6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2.101309488636728E-6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2.1409622873675094E-6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2.1806150860982908E-6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2.2054112950316414E-6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2.2302075039649925E-6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2.2550037128983432E-6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2.2797999218316942E-6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2.3045961307650449E-6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2.315909959985516E-6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2.3272237892059871E-6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2.3385376184264578E-6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2.3498514476469294E-6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2.3611652768674005E-6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2.3674618150746942E-6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2.3737583532819879E-6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2.3800548914892812E-6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2.3863514296965749E-6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2.3926479679038687E-6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1.8155481974995005E-5</v>
      </c>
      <c r="C2" s="7">
        <f>$B2 * IFERROR(VLOOKUP("LULUCF|SO2|Premature mortality", US_national_yearly!$D:$AM, 11, FALSE) / VLOOKUP("LULUCF|SO2|Premature mortality", US_national_yearly!$D:$AM, 10, FALSE), 1)</f>
        <v>1.8385411330922795E-5</v>
      </c>
      <c r="D2" s="7">
        <f>$B2 * IFERROR(VLOOKUP("LULUCF|SO2|Premature mortality", US_national_yearly!$D:$AM, 12, FALSE) / VLOOKUP("LULUCF|SO2|Premature mortality", US_national_yearly!$D:$AM, 10, FALSE), 1)</f>
        <v>1.8615340686850588E-5</v>
      </c>
      <c r="E2" s="7">
        <f>$B2 * IFERROR(VLOOKUP("LULUCF|SO2|Premature mortality", US_national_yearly!$D:$AM, 13, FALSE) / VLOOKUP("LULUCF|SO2|Premature mortality", US_national_yearly!$D:$AM, 10, FALSE), 1)</f>
        <v>1.8845270042778378E-5</v>
      </c>
      <c r="F2" s="7">
        <f>$B2 * IFERROR(VLOOKUP("LULUCF|SO2|Premature mortality", US_national_yearly!$D:$AM, 14, FALSE) / VLOOKUP("LULUCF|SO2|Premature mortality", US_national_yearly!$D:$AM, 10, FALSE), 1)</f>
        <v>1.9075199398706168E-5</v>
      </c>
      <c r="G2" s="7">
        <f>$B2 * IFERROR(VLOOKUP("LULUCF|SO2|Premature mortality", US_national_yearly!$D:$AM, 15, FALSE) / VLOOKUP("LULUCF|SO2|Premature mortality", US_national_yearly!$D:$AM, 10, FALSE), 1)</f>
        <v>1.9518260236596787E-5</v>
      </c>
      <c r="H2" s="7">
        <f>$B2 * IFERROR(VLOOKUP("LULUCF|SO2|Premature mortality", US_national_yearly!$D:$AM, 16, FALSE) / VLOOKUP("LULUCF|SO2|Premature mortality", US_national_yearly!$D:$AM, 10, FALSE), 1)</f>
        <v>1.9961321074487405E-5</v>
      </c>
      <c r="I2" s="7">
        <f>$B2 * IFERROR(VLOOKUP("LULUCF|SO2|Premature mortality", US_national_yearly!$D:$AM, 17, FALSE) / VLOOKUP("LULUCF|SO2|Premature mortality", US_national_yearly!$D:$AM, 10, FALSE), 1)</f>
        <v>2.0254122824283916E-5</v>
      </c>
      <c r="J2" s="7">
        <f>$B2 * IFERROR(VLOOKUP("LULUCF|SO2|Premature mortality", US_national_yearly!$D:$AM, 18, FALSE) / VLOOKUP("LULUCF|SO2|Premature mortality", US_national_yearly!$D:$AM, 10, FALSE), 1)</f>
        <v>2.0546924574080423E-5</v>
      </c>
      <c r="K2" s="7">
        <f>$B2 * IFERROR(VLOOKUP("LULUCF|SO2|Premature mortality", US_national_yearly!$D:$AM, 19, FALSE) / VLOOKUP("LULUCF|SO2|Premature mortality", US_national_yearly!$D:$AM, 10, FALSE), 1)</f>
        <v>2.0839726323876929E-5</v>
      </c>
      <c r="L2" s="7">
        <f>$B2 * IFERROR(VLOOKUP("LULUCF|SO2|Premature mortality", US_national_yearly!$D:$AM, 20, FALSE) / VLOOKUP("LULUCF|SO2|Premature mortality", US_national_yearly!$D:$AM, 10, FALSE), 1)</f>
        <v>2.113252807367344E-5</v>
      </c>
      <c r="M2" s="7">
        <f>$B2 * IFERROR(VLOOKUP("LULUCF|SO2|Premature mortality", US_national_yearly!$D:$AM, 21, FALSE) / VLOOKUP("LULUCF|SO2|Premature mortality", US_national_yearly!$D:$AM, 10, FALSE), 1)</f>
        <v>2.142532982346995E-5</v>
      </c>
      <c r="N2" s="7">
        <f>$B2 * IFERROR(VLOOKUP("LULUCF|SO2|Premature mortality", US_national_yearly!$D:$AM, 22, FALSE) / VLOOKUP("LULUCF|SO2|Premature mortality", US_national_yearly!$D:$AM, 10, FALSE), 1)</f>
        <v>2.1654109228395646E-5</v>
      </c>
      <c r="O2" s="7">
        <f>$B2 * IFERROR(VLOOKUP("LULUCF|SO2|Premature mortality", US_national_yearly!$D:$AM, 23, FALSE) / VLOOKUP("LULUCF|SO2|Premature mortality", US_national_yearly!$D:$AM, 10, FALSE), 1)</f>
        <v>2.1882888633321338E-5</v>
      </c>
      <c r="P2" s="7">
        <f>$B2 * IFERROR(VLOOKUP("LULUCF|SO2|Premature mortality", US_national_yearly!$D:$AM, 24, FALSE) / VLOOKUP("LULUCF|SO2|Premature mortality", US_national_yearly!$D:$AM, 10, FALSE), 1)</f>
        <v>2.211166803824703E-5</v>
      </c>
      <c r="Q2" s="7">
        <f>$B2 * IFERROR(VLOOKUP("LULUCF|SO2|Premature mortality", US_national_yearly!$D:$AM, 25, FALSE) / VLOOKUP("LULUCF|SO2|Premature mortality", US_national_yearly!$D:$AM, 10, FALSE), 1)</f>
        <v>2.2340447443172726E-5</v>
      </c>
      <c r="R2" s="7">
        <f>$B2 * IFERROR(VLOOKUP("LULUCF|SO2|Premature mortality", US_national_yearly!$D:$AM, 26, FALSE) / VLOOKUP("LULUCF|SO2|Premature mortality", US_national_yearly!$D:$AM, 10, FALSE), 1)</f>
        <v>2.2569226848098415E-5</v>
      </c>
      <c r="S2" s="7">
        <f>$B2 * IFERROR(VLOOKUP("LULUCF|SO2|Premature mortality", US_national_yearly!$D:$AM, 27, FALSE) / VLOOKUP("LULUCF|SO2|Premature mortality", US_national_yearly!$D:$AM, 10, FALSE), 1)</f>
        <v>2.2691741265679487E-5</v>
      </c>
      <c r="T2" s="7">
        <f>$B2 * IFERROR(VLOOKUP("LULUCF|SO2|Premature mortality", US_national_yearly!$D:$AM, 28, FALSE) / VLOOKUP("LULUCF|SO2|Premature mortality", US_national_yearly!$D:$AM, 10, FALSE), 1)</f>
        <v>2.2814255683260553E-5</v>
      </c>
      <c r="U2" s="7">
        <f>$B2 * IFERROR(VLOOKUP("LULUCF|SO2|Premature mortality", US_national_yearly!$D:$AM, 29, FALSE) / VLOOKUP("LULUCF|SO2|Premature mortality", US_national_yearly!$D:$AM, 10, FALSE), 1)</f>
        <v>2.2936770100841619E-5</v>
      </c>
      <c r="V2" s="7">
        <f>$B2 * IFERROR(VLOOKUP("LULUCF|SO2|Premature mortality", US_national_yearly!$D:$AM, 30, FALSE) / VLOOKUP("LULUCF|SO2|Premature mortality", US_national_yearly!$D:$AM, 10, FALSE), 1)</f>
        <v>2.3059284518422684E-5</v>
      </c>
      <c r="W2" s="7">
        <f>$B2 * IFERROR(VLOOKUP("LULUCF|SO2|Premature mortality", US_national_yearly!$D:$AM, 31, FALSE) / VLOOKUP("LULUCF|SO2|Premature mortality", US_national_yearly!$D:$AM, 10, FALSE), 1)</f>
        <v>2.3181798936003757E-5</v>
      </c>
      <c r="X2" s="7">
        <f>$B2 * IFERROR(VLOOKUP("LULUCF|SO2|Premature mortality", US_national_yearly!$D:$AM, 32, FALSE) / VLOOKUP("LULUCF|SO2|Premature mortality", US_national_yearly!$D:$AM, 10, FALSE), 1)</f>
        <v>2.3206688114678771E-5</v>
      </c>
      <c r="Y2" s="7">
        <f>$B2 * IFERROR(VLOOKUP("LULUCF|SO2|Premature mortality", US_national_yearly!$D:$AM, 33, FALSE) / VLOOKUP("LULUCF|SO2|Premature mortality", US_national_yearly!$D:$AM, 10, FALSE), 1)</f>
        <v>2.3231577293353788E-5</v>
      </c>
      <c r="Z2" s="7">
        <f>$B2 * IFERROR(VLOOKUP("LULUCF|SO2|Premature mortality", US_national_yearly!$D:$AM, 34, FALSE) / VLOOKUP("LULUCF|SO2|Premature mortality", US_national_yearly!$D:$AM, 10, FALSE), 1)</f>
        <v>2.3256466472028805E-5</v>
      </c>
      <c r="AA2" s="7">
        <f>$B2 * IFERROR(VLOOKUP("LULUCF|SO2|Premature mortality", US_national_yearly!$D:$AM, 35, FALSE) / VLOOKUP("LULUCF|SO2|Premature mortality", US_national_yearly!$D:$AM, 10, FALSE), 1)</f>
        <v>2.3281355650703826E-5</v>
      </c>
      <c r="AB2" s="7">
        <f>$B2 * IFERROR(VLOOKUP("LULUCF|SO2|Premature mortality", US_national_yearly!$D:$AM, 36, FALSE) / VLOOKUP("LULUCF|SO2|Premature mortality", US_national_yearly!$D:$AM, 10, FALSE), 1)</f>
        <v>2.330624482937884E-5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5.475678045248698E-8</v>
      </c>
      <c r="C3" s="7">
        <f>$B3 * IFERROR(VLOOKUP("LULUCF|SO2|Infant mortality", US_national_yearly!$D:$AM, 11, FALSE) / VLOOKUP("LULUCF|SO2|Infant mortality", US_national_yearly!$D:$AM, 10, FALSE), 1)</f>
        <v>5.4286409720458314E-8</v>
      </c>
      <c r="D3" s="7">
        <f>$B3 * IFERROR(VLOOKUP("LULUCF|SO2|Infant mortality", US_national_yearly!$D:$AM, 12, FALSE) / VLOOKUP("LULUCF|SO2|Infant mortality", US_national_yearly!$D:$AM, 10, FALSE), 1)</f>
        <v>5.3816038988429655E-8</v>
      </c>
      <c r="E3" s="7">
        <f>$B3 * IFERROR(VLOOKUP("LULUCF|SO2|Infant mortality", US_national_yearly!$D:$AM, 13, FALSE) / VLOOKUP("LULUCF|SO2|Infant mortality", US_national_yearly!$D:$AM, 10, FALSE), 1)</f>
        <v>5.3345668256400983E-8</v>
      </c>
      <c r="F3" s="7">
        <f>$B3 * IFERROR(VLOOKUP("LULUCF|SO2|Infant mortality", US_national_yearly!$D:$AM, 14, FALSE) / VLOOKUP("LULUCF|SO2|Infant mortality", US_national_yearly!$D:$AM, 10, FALSE), 1)</f>
        <v>5.2875297524372323E-8</v>
      </c>
      <c r="G3" s="7">
        <f>$B3 * IFERROR(VLOOKUP("LULUCF|SO2|Infant mortality", US_national_yearly!$D:$AM, 15, FALSE) / VLOOKUP("LULUCF|SO2|Infant mortality", US_national_yearly!$D:$AM, 10, FALSE), 1)</f>
        <v>3.5219206811274087E-8</v>
      </c>
      <c r="H3" s="7">
        <f>$B3 * IFERROR(VLOOKUP("LULUCF|SO2|Infant mortality", US_national_yearly!$D:$AM, 16, FALSE) / VLOOKUP("LULUCF|SO2|Infant mortality", US_national_yearly!$D:$AM, 10, FALSE), 1)</f>
        <v>1.7563116098175874E-8</v>
      </c>
      <c r="I3" s="7">
        <f>$B3 * IFERROR(VLOOKUP("LULUCF|SO2|Infant mortality", US_national_yearly!$D:$AM, 17, FALSE) / VLOOKUP("LULUCF|SO2|Infant mortality", US_national_yearly!$D:$AM, 10, FALSE), 1)</f>
        <v>1.7452937367286308E-8</v>
      </c>
      <c r="J3" s="7">
        <f>$B3 * IFERROR(VLOOKUP("LULUCF|SO2|Infant mortality", US_national_yearly!$D:$AM, 18, FALSE) / VLOOKUP("LULUCF|SO2|Infant mortality", US_national_yearly!$D:$AM, 10, FALSE), 1)</f>
        <v>1.7342758636396742E-8</v>
      </c>
      <c r="K3" s="7">
        <f>$B3 * IFERROR(VLOOKUP("LULUCF|SO2|Infant mortality", US_national_yearly!$D:$AM, 19, FALSE) / VLOOKUP("LULUCF|SO2|Infant mortality", US_national_yearly!$D:$AM, 10, FALSE), 1)</f>
        <v>1.7232579905507176E-8</v>
      </c>
      <c r="L3" s="7">
        <f>$B3 * IFERROR(VLOOKUP("LULUCF|SO2|Infant mortality", US_national_yearly!$D:$AM, 20, FALSE) / VLOOKUP("LULUCF|SO2|Infant mortality", US_national_yearly!$D:$AM, 10, FALSE), 1)</f>
        <v>1.7122401174617614E-8</v>
      </c>
      <c r="M3" s="7">
        <f>$B3 * IFERROR(VLOOKUP("LULUCF|SO2|Infant mortality", US_national_yearly!$D:$AM, 21, FALSE) / VLOOKUP("LULUCF|SO2|Infant mortality", US_national_yearly!$D:$AM, 10, FALSE), 1)</f>
        <v>1.7012222443728051E-8</v>
      </c>
      <c r="N3" s="7">
        <f>$B3 * IFERROR(VLOOKUP("LULUCF|SO2|Infant mortality", US_national_yearly!$D:$AM, 22, FALSE) / VLOOKUP("LULUCF|SO2|Infant mortality", US_national_yearly!$D:$AM, 10, FALSE), 1)</f>
        <v>1.6943064079219612E-8</v>
      </c>
      <c r="O3" s="7">
        <f>$B3 * IFERROR(VLOOKUP("LULUCF|SO2|Infant mortality", US_national_yearly!$D:$AM, 23, FALSE) / VLOOKUP("LULUCF|SO2|Infant mortality", US_national_yearly!$D:$AM, 10, FALSE), 1)</f>
        <v>1.6873905714711176E-8</v>
      </c>
      <c r="P3" s="7">
        <f>$B3 * IFERROR(VLOOKUP("LULUCF|SO2|Infant mortality", US_national_yearly!$D:$AM, 24, FALSE) / VLOOKUP("LULUCF|SO2|Infant mortality", US_national_yearly!$D:$AM, 10, FALSE), 1)</f>
        <v>1.6804747350202737E-8</v>
      </c>
      <c r="Q3" s="7">
        <f>$B3 * IFERROR(VLOOKUP("LULUCF|SO2|Infant mortality", US_national_yearly!$D:$AM, 25, FALSE) / VLOOKUP("LULUCF|SO2|Infant mortality", US_national_yearly!$D:$AM, 10, FALSE), 1)</f>
        <v>1.6735588985694298E-8</v>
      </c>
      <c r="R3" s="7">
        <f>$B3 * IFERROR(VLOOKUP("LULUCF|SO2|Infant mortality", US_national_yearly!$D:$AM, 26, FALSE) / VLOOKUP("LULUCF|SO2|Infant mortality", US_national_yearly!$D:$AM, 10, FALSE), 1)</f>
        <v>1.6666430621185859E-8</v>
      </c>
      <c r="S3" s="7">
        <f>$B3 * IFERROR(VLOOKUP("LULUCF|SO2|Infant mortality", US_national_yearly!$D:$AM, 27, FALSE) / VLOOKUP("LULUCF|SO2|Infant mortality", US_national_yearly!$D:$AM, 10, FALSE), 1)</f>
        <v>1.6579598081327764E-8</v>
      </c>
      <c r="T3" s="7">
        <f>$B3 * IFERROR(VLOOKUP("LULUCF|SO2|Infant mortality", US_national_yearly!$D:$AM, 28, FALSE) / VLOOKUP("LULUCF|SO2|Infant mortality", US_national_yearly!$D:$AM, 10, FALSE), 1)</f>
        <v>1.6492765541469668E-8</v>
      </c>
      <c r="U3" s="7">
        <f>$B3 * IFERROR(VLOOKUP("LULUCF|SO2|Infant mortality", US_national_yearly!$D:$AM, 29, FALSE) / VLOOKUP("LULUCF|SO2|Infant mortality", US_national_yearly!$D:$AM, 10, FALSE), 1)</f>
        <v>1.6405933001611563E-8</v>
      </c>
      <c r="V3" s="7">
        <f>$B3 * IFERROR(VLOOKUP("LULUCF|SO2|Infant mortality", US_national_yearly!$D:$AM, 30, FALSE) / VLOOKUP("LULUCF|SO2|Infant mortality", US_national_yearly!$D:$AM, 10, FALSE), 1)</f>
        <v>1.6319100461753471E-8</v>
      </c>
      <c r="W3" s="7">
        <f>$B3 * IFERROR(VLOOKUP("LULUCF|SO2|Infant mortality", US_national_yearly!$D:$AM, 31, FALSE) / VLOOKUP("LULUCF|SO2|Infant mortality", US_national_yearly!$D:$AM, 10, FALSE), 1)</f>
        <v>1.6232267921895372E-8</v>
      </c>
      <c r="X3" s="7">
        <f>$B3 * IFERROR(VLOOKUP("LULUCF|SO2|Infant mortality", US_national_yearly!$D:$AM, 32, FALSE) / VLOOKUP("LULUCF|SO2|Infant mortality", US_national_yearly!$D:$AM, 10, FALSE), 1)</f>
        <v>1.6137333153050494E-8</v>
      </c>
      <c r="Y3" s="7">
        <f>$B3 * IFERROR(VLOOKUP("LULUCF|SO2|Infant mortality", US_national_yearly!$D:$AM, 33, FALSE) / VLOOKUP("LULUCF|SO2|Infant mortality", US_national_yearly!$D:$AM, 10, FALSE), 1)</f>
        <v>1.6042398384205612E-8</v>
      </c>
      <c r="Z3" s="7">
        <f>$B3 * IFERROR(VLOOKUP("LULUCF|SO2|Infant mortality", US_national_yearly!$D:$AM, 34, FALSE) / VLOOKUP("LULUCF|SO2|Infant mortality", US_national_yearly!$D:$AM, 10, FALSE), 1)</f>
        <v>1.5947463615360737E-8</v>
      </c>
      <c r="AA3" s="7">
        <f>$B3 * IFERROR(VLOOKUP("LULUCF|SO2|Infant mortality", US_national_yearly!$D:$AM, 35, FALSE) / VLOOKUP("LULUCF|SO2|Infant mortality", US_national_yearly!$D:$AM, 10, FALSE), 1)</f>
        <v>1.5852528846515852E-8</v>
      </c>
      <c r="AB3" s="7">
        <f>$B3 * IFERROR(VLOOKUP("LULUCF|SO2|Infant mortality", US_national_yearly!$D:$AM, 36, FALSE) / VLOOKUP("LULUCF|SO2|Infant mortality", US_national_yearly!$D:$AM, 10, FALSE), 1)</f>
        <v>1.5757594077670977E-8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5.2382752640411123E-5</v>
      </c>
      <c r="C6" s="7">
        <f>$B6 * IFERROR(VLOOKUP("LULUCF|SO2|Asthma symptoms cough", US_national_yearly!$D:$AM, 11, FALSE) / VLOOKUP("LULUCF|SO2|Asthma symptoms cough", US_national_yearly!$D:$AM, 10, FALSE), 1)</f>
        <v>5.2382752640411123E-5</v>
      </c>
      <c r="D6" s="7">
        <f>$B6 * IFERROR(VLOOKUP("LULUCF|SO2|Asthma symptoms cough", US_national_yearly!$D:$AM, 12, FALSE) / VLOOKUP("LULUCF|SO2|Asthma symptoms cough", US_national_yearly!$D:$AM, 10, FALSE), 1)</f>
        <v>5.2382752640411123E-5</v>
      </c>
      <c r="E6" s="7">
        <f>$B6 * IFERROR(VLOOKUP("LULUCF|SO2|Asthma symptoms cough", US_national_yearly!$D:$AM, 13, FALSE) / VLOOKUP("LULUCF|SO2|Asthma symptoms cough", US_national_yearly!$D:$AM, 10, FALSE), 1)</f>
        <v>5.2382752640411123E-5</v>
      </c>
      <c r="F6" s="7">
        <f>$B6 * IFERROR(VLOOKUP("LULUCF|SO2|Asthma symptoms cough", US_national_yearly!$D:$AM, 14, FALSE) / VLOOKUP("LULUCF|SO2|Asthma symptoms cough", US_national_yearly!$D:$AM, 10, FALSE), 1)</f>
        <v>5.2382752640411123E-5</v>
      </c>
      <c r="G6" s="7">
        <f>$B6 * IFERROR(VLOOKUP("LULUCF|SO2|Asthma symptoms cough", US_national_yearly!$D:$AM, 15, FALSE) / VLOOKUP("LULUCF|SO2|Asthma symptoms cough", US_national_yearly!$D:$AM, 10, FALSE), 1)</f>
        <v>5.2382752640411123E-5</v>
      </c>
      <c r="H6" s="7">
        <f>$B6 * IFERROR(VLOOKUP("LULUCF|SO2|Asthma symptoms cough", US_national_yearly!$D:$AM, 16, FALSE) / VLOOKUP("LULUCF|SO2|Asthma symptoms cough", US_national_yearly!$D:$AM, 10, FALSE), 1)</f>
        <v>5.2382752640411123E-5</v>
      </c>
      <c r="I6" s="7">
        <f>$B6 * IFERROR(VLOOKUP("LULUCF|SO2|Asthma symptoms cough", US_national_yearly!$D:$AM, 17, FALSE) / VLOOKUP("LULUCF|SO2|Asthma symptoms cough", US_national_yearly!$D:$AM, 10, FALSE), 1)</f>
        <v>5.2382752640411123E-5</v>
      </c>
      <c r="J6" s="7">
        <f>$B6 * IFERROR(VLOOKUP("LULUCF|SO2|Asthma symptoms cough", US_national_yearly!$D:$AM, 18, FALSE) / VLOOKUP("LULUCF|SO2|Asthma symptoms cough", US_national_yearly!$D:$AM, 10, FALSE), 1)</f>
        <v>5.2382752640411123E-5</v>
      </c>
      <c r="K6" s="7">
        <f>$B6 * IFERROR(VLOOKUP("LULUCF|SO2|Asthma symptoms cough", US_national_yearly!$D:$AM, 19, FALSE) / VLOOKUP("LULUCF|SO2|Asthma symptoms cough", US_national_yearly!$D:$AM, 10, FALSE), 1)</f>
        <v>5.2382752640411123E-5</v>
      </c>
      <c r="L6" s="7">
        <f>$B6 * IFERROR(VLOOKUP("LULUCF|SO2|Asthma symptoms cough", US_national_yearly!$D:$AM, 20, FALSE) / VLOOKUP("LULUCF|SO2|Asthma symptoms cough", US_national_yearly!$D:$AM, 10, FALSE), 1)</f>
        <v>5.2382752640411123E-5</v>
      </c>
      <c r="M6" s="7">
        <f>$B6 * IFERROR(VLOOKUP("LULUCF|SO2|Asthma symptoms cough", US_national_yearly!$D:$AM, 21, FALSE) / VLOOKUP("LULUCF|SO2|Asthma symptoms cough", US_national_yearly!$D:$AM, 10, FALSE), 1)</f>
        <v>5.2382752640411123E-5</v>
      </c>
      <c r="N6" s="7">
        <f>$B6 * IFERROR(VLOOKUP("LULUCF|SO2|Asthma symptoms cough", US_national_yearly!$D:$AM, 22, FALSE) / VLOOKUP("LULUCF|SO2|Asthma symptoms cough", US_national_yearly!$D:$AM, 10, FALSE), 1)</f>
        <v>5.2382752640411123E-5</v>
      </c>
      <c r="O6" s="7">
        <f>$B6 * IFERROR(VLOOKUP("LULUCF|SO2|Asthma symptoms cough", US_national_yearly!$D:$AM, 23, FALSE) / VLOOKUP("LULUCF|SO2|Asthma symptoms cough", US_national_yearly!$D:$AM, 10, FALSE), 1)</f>
        <v>5.2382752640411123E-5</v>
      </c>
      <c r="P6" s="7">
        <f>$B6 * IFERROR(VLOOKUP("LULUCF|SO2|Asthma symptoms cough", US_national_yearly!$D:$AM, 24, FALSE) / VLOOKUP("LULUCF|SO2|Asthma symptoms cough", US_national_yearly!$D:$AM, 10, FALSE), 1)</f>
        <v>5.2382752640411123E-5</v>
      </c>
      <c r="Q6" s="7">
        <f>$B6 * IFERROR(VLOOKUP("LULUCF|SO2|Asthma symptoms cough", US_national_yearly!$D:$AM, 25, FALSE) / VLOOKUP("LULUCF|SO2|Asthma symptoms cough", US_national_yearly!$D:$AM, 10, FALSE), 1)</f>
        <v>5.2382752640411123E-5</v>
      </c>
      <c r="R6" s="7">
        <f>$B6 * IFERROR(VLOOKUP("LULUCF|SO2|Asthma symptoms cough", US_national_yearly!$D:$AM, 26, FALSE) / VLOOKUP("LULUCF|SO2|Asthma symptoms cough", US_national_yearly!$D:$AM, 10, FALSE), 1)</f>
        <v>5.2382752640411123E-5</v>
      </c>
      <c r="S6" s="7">
        <f>$B6 * IFERROR(VLOOKUP("LULUCF|SO2|Asthma symptoms cough", US_national_yearly!$D:$AM, 27, FALSE) / VLOOKUP("LULUCF|SO2|Asthma symptoms cough", US_national_yearly!$D:$AM, 10, FALSE), 1)</f>
        <v>5.2382752640411123E-5</v>
      </c>
      <c r="T6" s="7">
        <f>$B6 * IFERROR(VLOOKUP("LULUCF|SO2|Asthma symptoms cough", US_national_yearly!$D:$AM, 28, FALSE) / VLOOKUP("LULUCF|SO2|Asthma symptoms cough", US_national_yearly!$D:$AM, 10, FALSE), 1)</f>
        <v>5.2382752640411123E-5</v>
      </c>
      <c r="U6" s="7">
        <f>$B6 * IFERROR(VLOOKUP("LULUCF|SO2|Asthma symptoms cough", US_national_yearly!$D:$AM, 29, FALSE) / VLOOKUP("LULUCF|SO2|Asthma symptoms cough", US_national_yearly!$D:$AM, 10, FALSE), 1)</f>
        <v>5.2382752640411123E-5</v>
      </c>
      <c r="V6" s="7">
        <f>$B6 * IFERROR(VLOOKUP("LULUCF|SO2|Asthma symptoms cough", US_national_yearly!$D:$AM, 30, FALSE) / VLOOKUP("LULUCF|SO2|Asthma symptoms cough", US_national_yearly!$D:$AM, 10, FALSE), 1)</f>
        <v>5.2382752640411123E-5</v>
      </c>
      <c r="W6" s="7">
        <f>$B6 * IFERROR(VLOOKUP("LULUCF|SO2|Asthma symptoms cough", US_national_yearly!$D:$AM, 31, FALSE) / VLOOKUP("LULUCF|SO2|Asthma symptoms cough", US_national_yearly!$D:$AM, 10, FALSE), 1)</f>
        <v>5.2382752640411123E-5</v>
      </c>
      <c r="X6" s="7">
        <f>$B6 * IFERROR(VLOOKUP("LULUCF|SO2|Asthma symptoms cough", US_national_yearly!$D:$AM, 32, FALSE) / VLOOKUP("LULUCF|SO2|Asthma symptoms cough", US_national_yearly!$D:$AM, 10, FALSE), 1)</f>
        <v>5.2382752640411123E-5</v>
      </c>
      <c r="Y6" s="7">
        <f>$B6 * IFERROR(VLOOKUP("LULUCF|SO2|Asthma symptoms cough", US_national_yearly!$D:$AM, 33, FALSE) / VLOOKUP("LULUCF|SO2|Asthma symptoms cough", US_national_yearly!$D:$AM, 10, FALSE), 1)</f>
        <v>5.2382752640411123E-5</v>
      </c>
      <c r="Z6" s="7">
        <f>$B6 * IFERROR(VLOOKUP("LULUCF|SO2|Asthma symptoms cough", US_national_yearly!$D:$AM, 34, FALSE) / VLOOKUP("LULUCF|SO2|Asthma symptoms cough", US_national_yearly!$D:$AM, 10, FALSE), 1)</f>
        <v>5.2382752640411123E-5</v>
      </c>
      <c r="AA6" s="7">
        <f>$B6 * IFERROR(VLOOKUP("LULUCF|SO2|Asthma symptoms cough", US_national_yearly!$D:$AM, 35, FALSE) / VLOOKUP("LULUCF|SO2|Asthma symptoms cough", US_national_yearly!$D:$AM, 10, FALSE), 1)</f>
        <v>5.2382752640411123E-5</v>
      </c>
      <c r="AB6" s="7">
        <f>$B6 * IFERROR(VLOOKUP("LULUCF|SO2|Asthma symptoms cough", US_national_yearly!$D:$AM, 36, FALSE) / VLOOKUP("LULUCF|SO2|Asthma symptoms cough", US_national_yearly!$D:$AM, 10, FALSE), 1)</f>
        <v>5.2382752640411123E-5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7.0540973223876175E-5</v>
      </c>
      <c r="C7" s="7">
        <f>$B7 * IFERROR(VLOOKUP("LULUCF|SO2|Asthma symptoms shortness of breath", US_national_yearly!$D:$AM, 11, FALSE) / VLOOKUP("LULUCF|SO2|Asthma symptoms shortness of breath", US_national_yearly!$D:$AM, 10, FALSE), 1)</f>
        <v>7.0540973223876175E-5</v>
      </c>
      <c r="D7" s="7">
        <f>$B7 * IFERROR(VLOOKUP("LULUCF|SO2|Asthma symptoms shortness of breath", US_national_yearly!$D:$AM, 12, FALSE) / VLOOKUP("LULUCF|SO2|Asthma symptoms shortness of breath", US_national_yearly!$D:$AM, 10, FALSE), 1)</f>
        <v>7.0540973223876175E-5</v>
      </c>
      <c r="E7" s="7">
        <f>$B7 * IFERROR(VLOOKUP("LULUCF|SO2|Asthma symptoms shortness of breath", US_national_yearly!$D:$AM, 13, FALSE) / VLOOKUP("LULUCF|SO2|Asthma symptoms shortness of breath", US_national_yearly!$D:$AM, 10, FALSE), 1)</f>
        <v>7.0540973223876175E-5</v>
      </c>
      <c r="F7" s="7">
        <f>$B7 * IFERROR(VLOOKUP("LULUCF|SO2|Asthma symptoms shortness of breath", US_national_yearly!$D:$AM, 14, FALSE) / VLOOKUP("LULUCF|SO2|Asthma symptoms shortness of breath", US_national_yearly!$D:$AM, 10, FALSE), 1)</f>
        <v>7.0540973223876175E-5</v>
      </c>
      <c r="G7" s="7">
        <f>$B7 * IFERROR(VLOOKUP("LULUCF|SO2|Asthma symptoms shortness of breath", US_national_yearly!$D:$AM, 15, FALSE) / VLOOKUP("LULUCF|SO2|Asthma symptoms shortness of breath", US_national_yearly!$D:$AM, 10, FALSE), 1)</f>
        <v>7.0540973223876175E-5</v>
      </c>
      <c r="H7" s="7">
        <f>$B7 * IFERROR(VLOOKUP("LULUCF|SO2|Asthma symptoms shortness of breath", US_national_yearly!$D:$AM, 16, FALSE) / VLOOKUP("LULUCF|SO2|Asthma symptoms shortness of breath", US_national_yearly!$D:$AM, 10, FALSE), 1)</f>
        <v>7.0540973223876175E-5</v>
      </c>
      <c r="I7" s="7">
        <f>$B7 * IFERROR(VLOOKUP("LULUCF|SO2|Asthma symptoms shortness of breath", US_national_yearly!$D:$AM, 17, FALSE) / VLOOKUP("LULUCF|SO2|Asthma symptoms shortness of breath", US_national_yearly!$D:$AM, 10, FALSE), 1)</f>
        <v>7.0540973223876175E-5</v>
      </c>
      <c r="J7" s="7">
        <f>$B7 * IFERROR(VLOOKUP("LULUCF|SO2|Asthma symptoms shortness of breath", US_national_yearly!$D:$AM, 18, FALSE) / VLOOKUP("LULUCF|SO2|Asthma symptoms shortness of breath", US_national_yearly!$D:$AM, 10, FALSE), 1)</f>
        <v>7.0540973223876175E-5</v>
      </c>
      <c r="K7" s="7">
        <f>$B7 * IFERROR(VLOOKUP("LULUCF|SO2|Asthma symptoms shortness of breath", US_national_yearly!$D:$AM, 19, FALSE) / VLOOKUP("LULUCF|SO2|Asthma symptoms shortness of breath", US_national_yearly!$D:$AM, 10, FALSE), 1)</f>
        <v>7.0540973223876175E-5</v>
      </c>
      <c r="L7" s="7">
        <f>$B7 * IFERROR(VLOOKUP("LULUCF|SO2|Asthma symptoms shortness of breath", US_national_yearly!$D:$AM, 20, FALSE) / VLOOKUP("LULUCF|SO2|Asthma symptoms shortness of breath", US_national_yearly!$D:$AM, 10, FALSE), 1)</f>
        <v>7.0540973223876175E-5</v>
      </c>
      <c r="M7" s="7">
        <f>$B7 * IFERROR(VLOOKUP("LULUCF|SO2|Asthma symptoms shortness of breath", US_national_yearly!$D:$AM, 21, FALSE) / VLOOKUP("LULUCF|SO2|Asthma symptoms shortness of breath", US_national_yearly!$D:$AM, 10, FALSE), 1)</f>
        <v>7.0540973223876175E-5</v>
      </c>
      <c r="N7" s="7">
        <f>$B7 * IFERROR(VLOOKUP("LULUCF|SO2|Asthma symptoms shortness of breath", US_national_yearly!$D:$AM, 22, FALSE) / VLOOKUP("LULUCF|SO2|Asthma symptoms shortness of breath", US_national_yearly!$D:$AM, 10, FALSE), 1)</f>
        <v>7.0540973223876175E-5</v>
      </c>
      <c r="O7" s="7">
        <f>$B7 * IFERROR(VLOOKUP("LULUCF|SO2|Asthma symptoms shortness of breath", US_national_yearly!$D:$AM, 23, FALSE) / VLOOKUP("LULUCF|SO2|Asthma symptoms shortness of breath", US_national_yearly!$D:$AM, 10, FALSE), 1)</f>
        <v>7.0540973223876175E-5</v>
      </c>
      <c r="P7" s="7">
        <f>$B7 * IFERROR(VLOOKUP("LULUCF|SO2|Asthma symptoms shortness of breath", US_national_yearly!$D:$AM, 24, FALSE) / VLOOKUP("LULUCF|SO2|Asthma symptoms shortness of breath", US_national_yearly!$D:$AM, 10, FALSE), 1)</f>
        <v>7.0540973223876175E-5</v>
      </c>
      <c r="Q7" s="7">
        <f>$B7 * IFERROR(VLOOKUP("LULUCF|SO2|Asthma symptoms shortness of breath", US_national_yearly!$D:$AM, 25, FALSE) / VLOOKUP("LULUCF|SO2|Asthma symptoms shortness of breath", US_national_yearly!$D:$AM, 10, FALSE), 1)</f>
        <v>7.0540973223876175E-5</v>
      </c>
      <c r="R7" s="7">
        <f>$B7 * IFERROR(VLOOKUP("LULUCF|SO2|Asthma symptoms shortness of breath", US_national_yearly!$D:$AM, 26, FALSE) / VLOOKUP("LULUCF|SO2|Asthma symptoms shortness of breath", US_national_yearly!$D:$AM, 10, FALSE), 1)</f>
        <v>7.0540973223876175E-5</v>
      </c>
      <c r="S7" s="7">
        <f>$B7 * IFERROR(VLOOKUP("LULUCF|SO2|Asthma symptoms shortness of breath", US_national_yearly!$D:$AM, 27, FALSE) / VLOOKUP("LULUCF|SO2|Asthma symptoms shortness of breath", US_national_yearly!$D:$AM, 10, FALSE), 1)</f>
        <v>7.0540973223876175E-5</v>
      </c>
      <c r="T7" s="7">
        <f>$B7 * IFERROR(VLOOKUP("LULUCF|SO2|Asthma symptoms shortness of breath", US_national_yearly!$D:$AM, 28, FALSE) / VLOOKUP("LULUCF|SO2|Asthma symptoms shortness of breath", US_national_yearly!$D:$AM, 10, FALSE), 1)</f>
        <v>7.0540973223876175E-5</v>
      </c>
      <c r="U7" s="7">
        <f>$B7 * IFERROR(VLOOKUP("LULUCF|SO2|Asthma symptoms shortness of breath", US_national_yearly!$D:$AM, 29, FALSE) / VLOOKUP("LULUCF|SO2|Asthma symptoms shortness of breath", US_national_yearly!$D:$AM, 10, FALSE), 1)</f>
        <v>7.0540973223876175E-5</v>
      </c>
      <c r="V7" s="7">
        <f>$B7 * IFERROR(VLOOKUP("LULUCF|SO2|Asthma symptoms shortness of breath", US_national_yearly!$D:$AM, 30, FALSE) / VLOOKUP("LULUCF|SO2|Asthma symptoms shortness of breath", US_national_yearly!$D:$AM, 10, FALSE), 1)</f>
        <v>7.0540973223876175E-5</v>
      </c>
      <c r="W7" s="7">
        <f>$B7 * IFERROR(VLOOKUP("LULUCF|SO2|Asthma symptoms shortness of breath", US_national_yearly!$D:$AM, 31, FALSE) / VLOOKUP("LULUCF|SO2|Asthma symptoms shortness of breath", US_national_yearly!$D:$AM, 10, FALSE), 1)</f>
        <v>7.0540973223876175E-5</v>
      </c>
      <c r="X7" s="7">
        <f>$B7 * IFERROR(VLOOKUP("LULUCF|SO2|Asthma symptoms shortness of breath", US_national_yearly!$D:$AM, 32, FALSE) / VLOOKUP("LULUCF|SO2|Asthma symptoms shortness of breath", US_national_yearly!$D:$AM, 10, FALSE), 1)</f>
        <v>7.0540973223876175E-5</v>
      </c>
      <c r="Y7" s="7">
        <f>$B7 * IFERROR(VLOOKUP("LULUCF|SO2|Asthma symptoms shortness of breath", US_national_yearly!$D:$AM, 33, FALSE) / VLOOKUP("LULUCF|SO2|Asthma symptoms shortness of breath", US_national_yearly!$D:$AM, 10, FALSE), 1)</f>
        <v>7.0540973223876175E-5</v>
      </c>
      <c r="Z7" s="7">
        <f>$B7 * IFERROR(VLOOKUP("LULUCF|SO2|Asthma symptoms shortness of breath", US_national_yearly!$D:$AM, 34, FALSE) / VLOOKUP("LULUCF|SO2|Asthma symptoms shortness of breath", US_national_yearly!$D:$AM, 10, FALSE), 1)</f>
        <v>7.0540973223876175E-5</v>
      </c>
      <c r="AA7" s="7">
        <f>$B7 * IFERROR(VLOOKUP("LULUCF|SO2|Asthma symptoms shortness of breath", US_national_yearly!$D:$AM, 35, FALSE) / VLOOKUP("LULUCF|SO2|Asthma symptoms shortness of breath", US_national_yearly!$D:$AM, 10, FALSE), 1)</f>
        <v>7.0540973223876175E-5</v>
      </c>
      <c r="AB7" s="7">
        <f>$B7 * IFERROR(VLOOKUP("LULUCF|SO2|Asthma symptoms shortness of breath", US_national_yearly!$D:$AM, 36, FALSE) / VLOOKUP("LULUCF|SO2|Asthma symptoms shortness of breath", US_national_yearly!$D:$AM, 10, FALSE), 1)</f>
        <v>7.0540973223876175E-5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1.0777466669670089E-4</v>
      </c>
      <c r="C8" s="7">
        <f>$B8 * IFERROR(VLOOKUP("LULUCF|SO2|Asthma symptoms wheeze", US_national_yearly!$D:$AM, 11, FALSE) / VLOOKUP("LULUCF|SO2|Asthma symptoms wheeze", US_national_yearly!$D:$AM, 10, FALSE), 1)</f>
        <v>1.0777466669670089E-4</v>
      </c>
      <c r="D8" s="7">
        <f>$B8 * IFERROR(VLOOKUP("LULUCF|SO2|Asthma symptoms wheeze", US_national_yearly!$D:$AM, 12, FALSE) / VLOOKUP("LULUCF|SO2|Asthma symptoms wheeze", US_national_yearly!$D:$AM, 10, FALSE), 1)</f>
        <v>1.0777466669670089E-4</v>
      </c>
      <c r="E8" s="7">
        <f>$B8 * IFERROR(VLOOKUP("LULUCF|SO2|Asthma symptoms wheeze", US_national_yearly!$D:$AM, 13, FALSE) / VLOOKUP("LULUCF|SO2|Asthma symptoms wheeze", US_national_yearly!$D:$AM, 10, FALSE), 1)</f>
        <v>1.0777466669670089E-4</v>
      </c>
      <c r="F8" s="7">
        <f>$B8 * IFERROR(VLOOKUP("LULUCF|SO2|Asthma symptoms wheeze", US_national_yearly!$D:$AM, 14, FALSE) / VLOOKUP("LULUCF|SO2|Asthma symptoms wheeze", US_national_yearly!$D:$AM, 10, FALSE), 1)</f>
        <v>1.0777466669670089E-4</v>
      </c>
      <c r="G8" s="7">
        <f>$B8 * IFERROR(VLOOKUP("LULUCF|SO2|Asthma symptoms wheeze", US_national_yearly!$D:$AM, 15, FALSE) / VLOOKUP("LULUCF|SO2|Asthma symptoms wheeze", US_national_yearly!$D:$AM, 10, FALSE), 1)</f>
        <v>1.0777466669670089E-4</v>
      </c>
      <c r="H8" s="7">
        <f>$B8 * IFERROR(VLOOKUP("LULUCF|SO2|Asthma symptoms wheeze", US_national_yearly!$D:$AM, 16, FALSE) / VLOOKUP("LULUCF|SO2|Asthma symptoms wheeze", US_national_yearly!$D:$AM, 10, FALSE), 1)</f>
        <v>1.0777466669670089E-4</v>
      </c>
      <c r="I8" s="7">
        <f>$B8 * IFERROR(VLOOKUP("LULUCF|SO2|Asthma symptoms wheeze", US_national_yearly!$D:$AM, 17, FALSE) / VLOOKUP("LULUCF|SO2|Asthma symptoms wheeze", US_national_yearly!$D:$AM, 10, FALSE), 1)</f>
        <v>1.0777466669670089E-4</v>
      </c>
      <c r="J8" s="7">
        <f>$B8 * IFERROR(VLOOKUP("LULUCF|SO2|Asthma symptoms wheeze", US_national_yearly!$D:$AM, 18, FALSE) / VLOOKUP("LULUCF|SO2|Asthma symptoms wheeze", US_national_yearly!$D:$AM, 10, FALSE), 1)</f>
        <v>1.0777466669670089E-4</v>
      </c>
      <c r="K8" s="7">
        <f>$B8 * IFERROR(VLOOKUP("LULUCF|SO2|Asthma symptoms wheeze", US_national_yearly!$D:$AM, 19, FALSE) / VLOOKUP("LULUCF|SO2|Asthma symptoms wheeze", US_national_yearly!$D:$AM, 10, FALSE), 1)</f>
        <v>1.0777466669670089E-4</v>
      </c>
      <c r="L8" s="7">
        <f>$B8 * IFERROR(VLOOKUP("LULUCF|SO2|Asthma symptoms wheeze", US_national_yearly!$D:$AM, 20, FALSE) / VLOOKUP("LULUCF|SO2|Asthma symptoms wheeze", US_national_yearly!$D:$AM, 10, FALSE), 1)</f>
        <v>1.0777466669670089E-4</v>
      </c>
      <c r="M8" s="7">
        <f>$B8 * IFERROR(VLOOKUP("LULUCF|SO2|Asthma symptoms wheeze", US_national_yearly!$D:$AM, 21, FALSE) / VLOOKUP("LULUCF|SO2|Asthma symptoms wheeze", US_national_yearly!$D:$AM, 10, FALSE), 1)</f>
        <v>1.0777466669670089E-4</v>
      </c>
      <c r="N8" s="7">
        <f>$B8 * IFERROR(VLOOKUP("LULUCF|SO2|Asthma symptoms wheeze", US_national_yearly!$D:$AM, 22, FALSE) / VLOOKUP("LULUCF|SO2|Asthma symptoms wheeze", US_national_yearly!$D:$AM, 10, FALSE), 1)</f>
        <v>1.0777466669670089E-4</v>
      </c>
      <c r="O8" s="7">
        <f>$B8 * IFERROR(VLOOKUP("LULUCF|SO2|Asthma symptoms wheeze", US_national_yearly!$D:$AM, 23, FALSE) / VLOOKUP("LULUCF|SO2|Asthma symptoms wheeze", US_national_yearly!$D:$AM, 10, FALSE), 1)</f>
        <v>1.0777466669670089E-4</v>
      </c>
      <c r="P8" s="7">
        <f>$B8 * IFERROR(VLOOKUP("LULUCF|SO2|Asthma symptoms wheeze", US_national_yearly!$D:$AM, 24, FALSE) / VLOOKUP("LULUCF|SO2|Asthma symptoms wheeze", US_national_yearly!$D:$AM, 10, FALSE), 1)</f>
        <v>1.0777466669670089E-4</v>
      </c>
      <c r="Q8" s="7">
        <f>$B8 * IFERROR(VLOOKUP("LULUCF|SO2|Asthma symptoms wheeze", US_national_yearly!$D:$AM, 25, FALSE) / VLOOKUP("LULUCF|SO2|Asthma symptoms wheeze", US_national_yearly!$D:$AM, 10, FALSE), 1)</f>
        <v>1.0777466669670089E-4</v>
      </c>
      <c r="R8" s="7">
        <f>$B8 * IFERROR(VLOOKUP("LULUCF|SO2|Asthma symptoms wheeze", US_national_yearly!$D:$AM, 26, FALSE) / VLOOKUP("LULUCF|SO2|Asthma symptoms wheeze", US_national_yearly!$D:$AM, 10, FALSE), 1)</f>
        <v>1.0777466669670089E-4</v>
      </c>
      <c r="S8" s="7">
        <f>$B8 * IFERROR(VLOOKUP("LULUCF|SO2|Asthma symptoms wheeze", US_national_yearly!$D:$AM, 27, FALSE) / VLOOKUP("LULUCF|SO2|Asthma symptoms wheeze", US_national_yearly!$D:$AM, 10, FALSE), 1)</f>
        <v>1.0777466669670089E-4</v>
      </c>
      <c r="T8" s="7">
        <f>$B8 * IFERROR(VLOOKUP("LULUCF|SO2|Asthma symptoms wheeze", US_national_yearly!$D:$AM, 28, FALSE) / VLOOKUP("LULUCF|SO2|Asthma symptoms wheeze", US_national_yearly!$D:$AM, 10, FALSE), 1)</f>
        <v>1.0777466669670089E-4</v>
      </c>
      <c r="U8" s="7">
        <f>$B8 * IFERROR(VLOOKUP("LULUCF|SO2|Asthma symptoms wheeze", US_national_yearly!$D:$AM, 29, FALSE) / VLOOKUP("LULUCF|SO2|Asthma symptoms wheeze", US_national_yearly!$D:$AM, 10, FALSE), 1)</f>
        <v>1.0777466669670089E-4</v>
      </c>
      <c r="V8" s="7">
        <f>$B8 * IFERROR(VLOOKUP("LULUCF|SO2|Asthma symptoms wheeze", US_national_yearly!$D:$AM, 30, FALSE) / VLOOKUP("LULUCF|SO2|Asthma symptoms wheeze", US_national_yearly!$D:$AM, 10, FALSE), 1)</f>
        <v>1.0777466669670089E-4</v>
      </c>
      <c r="W8" s="7">
        <f>$B8 * IFERROR(VLOOKUP("LULUCF|SO2|Asthma symptoms wheeze", US_national_yearly!$D:$AM, 31, FALSE) / VLOOKUP("LULUCF|SO2|Asthma symptoms wheeze", US_national_yearly!$D:$AM, 10, FALSE), 1)</f>
        <v>1.0777466669670089E-4</v>
      </c>
      <c r="X8" s="7">
        <f>$B8 * IFERROR(VLOOKUP("LULUCF|SO2|Asthma symptoms wheeze", US_national_yearly!$D:$AM, 32, FALSE) / VLOOKUP("LULUCF|SO2|Asthma symptoms wheeze", US_national_yearly!$D:$AM, 10, FALSE), 1)</f>
        <v>1.0777466669670089E-4</v>
      </c>
      <c r="Y8" s="7">
        <f>$B8 * IFERROR(VLOOKUP("LULUCF|SO2|Asthma symptoms wheeze", US_national_yearly!$D:$AM, 33, FALSE) / VLOOKUP("LULUCF|SO2|Asthma symptoms wheeze", US_national_yearly!$D:$AM, 10, FALSE), 1)</f>
        <v>1.0777466669670089E-4</v>
      </c>
      <c r="Z8" s="7">
        <f>$B8 * IFERROR(VLOOKUP("LULUCF|SO2|Asthma symptoms wheeze", US_national_yearly!$D:$AM, 34, FALSE) / VLOOKUP("LULUCF|SO2|Asthma symptoms wheeze", US_national_yearly!$D:$AM, 10, FALSE), 1)</f>
        <v>1.0777466669670089E-4</v>
      </c>
      <c r="AA8" s="7">
        <f>$B8 * IFERROR(VLOOKUP("LULUCF|SO2|Asthma symptoms wheeze", US_national_yearly!$D:$AM, 35, FALSE) / VLOOKUP("LULUCF|SO2|Asthma symptoms wheeze", US_national_yearly!$D:$AM, 10, FALSE), 1)</f>
        <v>1.0777466669670089E-4</v>
      </c>
      <c r="AB8" s="7">
        <f>$B8 * IFERROR(VLOOKUP("LULUCF|SO2|Asthma symptoms wheeze", US_national_yearly!$D:$AM, 36, FALSE) / VLOOKUP("LULUCF|SO2|Asthma symptoms wheeze", US_national_yearly!$D:$AM, 10, FALSE), 1)</f>
        <v>1.0777466669670089E-4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1.382502795067895E-6</v>
      </c>
      <c r="C12" s="7">
        <f>$B12 * IFERROR(VLOOKUP("LULUCF|SO2|Respiratory hospital admissions", US_national_yearly!$D:$AM, 11, FALSE) / VLOOKUP("LULUCF|SO2|Respiratory hospital admissions", US_national_yearly!$D:$AM, 10, FALSE), 1)</f>
        <v>1.3906568652565428E-6</v>
      </c>
      <c r="D12" s="7">
        <f>$B12 * IFERROR(VLOOKUP("LULUCF|SO2|Respiratory hospital admissions", US_national_yearly!$D:$AM, 12, FALSE) / VLOOKUP("LULUCF|SO2|Respiratory hospital admissions", US_national_yearly!$D:$AM, 10, FALSE), 1)</f>
        <v>1.3988109354451908E-6</v>
      </c>
      <c r="E12" s="7">
        <f>$B12 * IFERROR(VLOOKUP("LULUCF|SO2|Respiratory hospital admissions", US_national_yearly!$D:$AM, 13, FALSE) / VLOOKUP("LULUCF|SO2|Respiratory hospital admissions", US_national_yearly!$D:$AM, 10, FALSE), 1)</f>
        <v>1.4069650056338386E-6</v>
      </c>
      <c r="F12" s="7">
        <f>$B12 * IFERROR(VLOOKUP("LULUCF|SO2|Respiratory hospital admissions", US_national_yearly!$D:$AM, 14, FALSE) / VLOOKUP("LULUCF|SO2|Respiratory hospital admissions", US_national_yearly!$D:$AM, 10, FALSE), 1)</f>
        <v>1.4151190758224864E-6</v>
      </c>
      <c r="G12" s="7">
        <f>$B12 * IFERROR(VLOOKUP("LULUCF|SO2|Respiratory hospital admissions", US_national_yearly!$D:$AM, 15, FALSE) / VLOOKUP("LULUCF|SO2|Respiratory hospital admissions", US_national_yearly!$D:$AM, 10, FALSE), 1)</f>
        <v>1.4240083876832425E-6</v>
      </c>
      <c r="H12" s="7">
        <f>$B12 * IFERROR(VLOOKUP("LULUCF|SO2|Respiratory hospital admissions", US_national_yearly!$D:$AM, 16, FALSE) / VLOOKUP("LULUCF|SO2|Respiratory hospital admissions", US_national_yearly!$D:$AM, 10, FALSE), 1)</f>
        <v>1.4328976995439985E-6</v>
      </c>
      <c r="I12" s="7">
        <f>$B12 * IFERROR(VLOOKUP("LULUCF|SO2|Respiratory hospital admissions", US_national_yearly!$D:$AM, 17, FALSE) / VLOOKUP("LULUCF|SO2|Respiratory hospital admissions", US_national_yearly!$D:$AM, 10, FALSE), 1)</f>
        <v>1.4416636194368913E-6</v>
      </c>
      <c r="J12" s="7">
        <f>$B12 * IFERROR(VLOOKUP("LULUCF|SO2|Respiratory hospital admissions", US_national_yearly!$D:$AM, 18, FALSE) / VLOOKUP("LULUCF|SO2|Respiratory hospital admissions", US_national_yearly!$D:$AM, 10, FALSE), 1)</f>
        <v>1.4504295393297843E-6</v>
      </c>
      <c r="K12" s="7">
        <f>$B12 * IFERROR(VLOOKUP("LULUCF|SO2|Respiratory hospital admissions", US_national_yearly!$D:$AM, 19, FALSE) / VLOOKUP("LULUCF|SO2|Respiratory hospital admissions", US_national_yearly!$D:$AM, 10, FALSE), 1)</f>
        <v>1.4591954592226768E-6</v>
      </c>
      <c r="L12" s="7">
        <f>$B12 * IFERROR(VLOOKUP("LULUCF|SO2|Respiratory hospital admissions", US_national_yearly!$D:$AM, 20, FALSE) / VLOOKUP("LULUCF|SO2|Respiratory hospital admissions", US_national_yearly!$D:$AM, 10, FALSE), 1)</f>
        <v>1.4679613791155698E-6</v>
      </c>
      <c r="M12" s="7">
        <f>$B12 * IFERROR(VLOOKUP("LULUCF|SO2|Respiratory hospital admissions", US_national_yearly!$D:$AM, 21, FALSE) / VLOOKUP("LULUCF|SO2|Respiratory hospital admissions", US_national_yearly!$D:$AM, 10, FALSE), 1)</f>
        <v>1.4767272990084623E-6</v>
      </c>
      <c r="N12" s="7">
        <f>$B12 * IFERROR(VLOOKUP("LULUCF|SO2|Respiratory hospital admissions", US_national_yearly!$D:$AM, 22, FALSE) / VLOOKUP("LULUCF|SO2|Respiratory hospital admissions", US_national_yearly!$D:$AM, 10, FALSE), 1)</f>
        <v>1.4831261499386198E-6</v>
      </c>
      <c r="O12" s="7">
        <f>$B12 * IFERROR(VLOOKUP("LULUCF|SO2|Respiratory hospital admissions", US_national_yearly!$D:$AM, 23, FALSE) / VLOOKUP("LULUCF|SO2|Respiratory hospital admissions", US_national_yearly!$D:$AM, 10, FALSE), 1)</f>
        <v>1.4895250008687769E-6</v>
      </c>
      <c r="P12" s="7">
        <f>$B12 * IFERROR(VLOOKUP("LULUCF|SO2|Respiratory hospital admissions", US_national_yearly!$D:$AM, 24, FALSE) / VLOOKUP("LULUCF|SO2|Respiratory hospital admissions", US_national_yearly!$D:$AM, 10, FALSE), 1)</f>
        <v>1.4959238517989341E-6</v>
      </c>
      <c r="Q12" s="7">
        <f>$B12 * IFERROR(VLOOKUP("LULUCF|SO2|Respiratory hospital admissions", US_national_yearly!$D:$AM, 25, FALSE) / VLOOKUP("LULUCF|SO2|Respiratory hospital admissions", US_national_yearly!$D:$AM, 10, FALSE), 1)</f>
        <v>1.5023227027290916E-6</v>
      </c>
      <c r="R12" s="7">
        <f>$B12 * IFERROR(VLOOKUP("LULUCF|SO2|Respiratory hospital admissions", US_national_yearly!$D:$AM, 26, FALSE) / VLOOKUP("LULUCF|SO2|Respiratory hospital admissions", US_national_yearly!$D:$AM, 10, FALSE), 1)</f>
        <v>1.5087215536592487E-6</v>
      </c>
      <c r="S12" s="7">
        <f>$B12 * IFERROR(VLOOKUP("LULUCF|SO2|Respiratory hospital admissions", US_national_yearly!$D:$AM, 27, FALSE) / VLOOKUP("LULUCF|SO2|Respiratory hospital admissions", US_national_yearly!$D:$AM, 10, FALSE), 1)</f>
        <v>1.5148255692005156E-6</v>
      </c>
      <c r="T12" s="7">
        <f>$B12 * IFERROR(VLOOKUP("LULUCF|SO2|Respiratory hospital admissions", US_national_yearly!$D:$AM, 28, FALSE) / VLOOKUP("LULUCF|SO2|Respiratory hospital admissions", US_national_yearly!$D:$AM, 10, FALSE), 1)</f>
        <v>1.5209295847417822E-6</v>
      </c>
      <c r="U12" s="7">
        <f>$B12 * IFERROR(VLOOKUP("LULUCF|SO2|Respiratory hospital admissions", US_national_yearly!$D:$AM, 29, FALSE) / VLOOKUP("LULUCF|SO2|Respiratory hospital admissions", US_national_yearly!$D:$AM, 10, FALSE), 1)</f>
        <v>1.527033600283049E-6</v>
      </c>
      <c r="V12" s="7">
        <f>$B12 * IFERROR(VLOOKUP("LULUCF|SO2|Respiratory hospital admissions", US_national_yearly!$D:$AM, 30, FALSE) / VLOOKUP("LULUCF|SO2|Respiratory hospital admissions", US_national_yearly!$D:$AM, 10, FALSE), 1)</f>
        <v>1.5331376158243159E-6</v>
      </c>
      <c r="W12" s="7">
        <f>$B12 * IFERROR(VLOOKUP("LULUCF|SO2|Respiratory hospital admissions", US_national_yearly!$D:$AM, 31, FALSE) / VLOOKUP("LULUCF|SO2|Respiratory hospital admissions", US_national_yearly!$D:$AM, 10, FALSE), 1)</f>
        <v>1.5392416313655828E-6</v>
      </c>
      <c r="X12" s="7">
        <f>$B12 * IFERROR(VLOOKUP("LULUCF|SO2|Respiratory hospital admissions", US_national_yearly!$D:$AM, 32, FALSE) / VLOOKUP("LULUCF|SO2|Respiratory hospital admissions", US_national_yearly!$D:$AM, 10, FALSE), 1)</f>
        <v>1.5450333399539894E-6</v>
      </c>
      <c r="Y12" s="7">
        <f>$B12 * IFERROR(VLOOKUP("LULUCF|SO2|Respiratory hospital admissions", US_national_yearly!$D:$AM, 33, FALSE) / VLOOKUP("LULUCF|SO2|Respiratory hospital admissions", US_national_yearly!$D:$AM, 10, FALSE), 1)</f>
        <v>1.5508250485423959E-6</v>
      </c>
      <c r="Z12" s="7">
        <f>$B12 * IFERROR(VLOOKUP("LULUCF|SO2|Respiratory hospital admissions", US_national_yearly!$D:$AM, 34, FALSE) / VLOOKUP("LULUCF|SO2|Respiratory hospital admissions", US_national_yearly!$D:$AM, 10, FALSE), 1)</f>
        <v>1.5566167571308026E-6</v>
      </c>
      <c r="AA12" s="7">
        <f>$B12 * IFERROR(VLOOKUP("LULUCF|SO2|Respiratory hospital admissions", US_national_yearly!$D:$AM, 35, FALSE) / VLOOKUP("LULUCF|SO2|Respiratory hospital admissions", US_national_yearly!$D:$AM, 10, FALSE), 1)</f>
        <v>1.5624084657192091E-6</v>
      </c>
      <c r="AB12" s="7">
        <f>$B12 * IFERROR(VLOOKUP("LULUCF|SO2|Respiratory hospital admissions", US_national_yearly!$D:$AM, 36, FALSE) / VLOOKUP("LULUCF|SO2|Respiratory hospital admissions", US_national_yearly!$D:$AM, 10, FALSE), 1)</f>
        <v>1.568200174307616E-6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5.8631682543534383E-6</v>
      </c>
      <c r="C13" s="7">
        <f>$B13 * IFERROR(VLOOKUP("LULUCF|SO2|Non-fatal heart attacks", US_national_yearly!$D:$AM, 11, FALSE) / VLOOKUP("LULUCF|SO2|Non-fatal heart attacks", US_national_yearly!$D:$AM, 10, FALSE), 1)</f>
        <v>6.0352895781064684E-6</v>
      </c>
      <c r="D13" s="7">
        <f>$B13 * IFERROR(VLOOKUP("LULUCF|SO2|Non-fatal heart attacks", US_national_yearly!$D:$AM, 12, FALSE) / VLOOKUP("LULUCF|SO2|Non-fatal heart attacks", US_national_yearly!$D:$AM, 10, FALSE), 1)</f>
        <v>6.2074109018594993E-6</v>
      </c>
      <c r="E13" s="7">
        <f>$B13 * IFERROR(VLOOKUP("LULUCF|SO2|Non-fatal heart attacks", US_national_yearly!$D:$AM, 13, FALSE) / VLOOKUP("LULUCF|SO2|Non-fatal heart attacks", US_national_yearly!$D:$AM, 10, FALSE), 1)</f>
        <v>6.3795322256125293E-6</v>
      </c>
      <c r="F13" s="7">
        <f>$B13 * IFERROR(VLOOKUP("LULUCF|SO2|Non-fatal heart attacks", US_national_yearly!$D:$AM, 14, FALSE) / VLOOKUP("LULUCF|SO2|Non-fatal heart attacks", US_national_yearly!$D:$AM, 10, FALSE), 1)</f>
        <v>6.5516535493655585E-6</v>
      </c>
      <c r="G13" s="7">
        <f>$B13 * IFERROR(VLOOKUP("LULUCF|SO2|Non-fatal heart attacks", US_national_yearly!$D:$AM, 15, FALSE) / VLOOKUP("LULUCF|SO2|Non-fatal heart attacks", US_national_yearly!$D:$AM, 10, FALSE), 1)</f>
        <v>6.7139799228927577E-6</v>
      </c>
      <c r="H13" s="7">
        <f>$B13 * IFERROR(VLOOKUP("LULUCF|SO2|Non-fatal heart attacks", US_national_yearly!$D:$AM, 16, FALSE) / VLOOKUP("LULUCF|SO2|Non-fatal heart attacks", US_national_yearly!$D:$AM, 10, FALSE), 1)</f>
        <v>6.8763062964199569E-6</v>
      </c>
      <c r="I13" s="7">
        <f>$B13 * IFERROR(VLOOKUP("LULUCF|SO2|Non-fatal heart attacks", US_national_yearly!$D:$AM, 17, FALSE) / VLOOKUP("LULUCF|SO2|Non-fatal heart attacks", US_national_yearly!$D:$AM, 10, FALSE), 1)</f>
        <v>7.0069281401447247E-6</v>
      </c>
      <c r="J13" s="7">
        <f>$B13 * IFERROR(VLOOKUP("LULUCF|SO2|Non-fatal heart attacks", US_national_yearly!$D:$AM, 18, FALSE) / VLOOKUP("LULUCF|SO2|Non-fatal heart attacks", US_national_yearly!$D:$AM, 10, FALSE), 1)</f>
        <v>7.1375499838694933E-6</v>
      </c>
      <c r="K13" s="7">
        <f>$B13 * IFERROR(VLOOKUP("LULUCF|SO2|Non-fatal heart attacks", US_national_yearly!$D:$AM, 19, FALSE) / VLOOKUP("LULUCF|SO2|Non-fatal heart attacks", US_national_yearly!$D:$AM, 10, FALSE), 1)</f>
        <v>7.2681718275942611E-6</v>
      </c>
      <c r="L13" s="7">
        <f>$B13 * IFERROR(VLOOKUP("LULUCF|SO2|Non-fatal heart attacks", US_national_yearly!$D:$AM, 20, FALSE) / VLOOKUP("LULUCF|SO2|Non-fatal heart attacks", US_national_yearly!$D:$AM, 10, FALSE), 1)</f>
        <v>7.3987936713190314E-6</v>
      </c>
      <c r="M13" s="7">
        <f>$B13 * IFERROR(VLOOKUP("LULUCF|SO2|Non-fatal heart attacks", US_national_yearly!$D:$AM, 21, FALSE) / VLOOKUP("LULUCF|SO2|Non-fatal heart attacks", US_national_yearly!$D:$AM, 10, FALSE), 1)</f>
        <v>7.5294155150438E-6</v>
      </c>
      <c r="N13" s="7">
        <f>$B13 * IFERROR(VLOOKUP("LULUCF|SO2|Non-fatal heart attacks", US_national_yearly!$D:$AM, 22, FALSE) / VLOOKUP("LULUCF|SO2|Non-fatal heart attacks", US_national_yearly!$D:$AM, 10, FALSE), 1)</f>
        <v>7.6142298562955406E-6</v>
      </c>
      <c r="O13" s="7">
        <f>$B13 * IFERROR(VLOOKUP("LULUCF|SO2|Non-fatal heart attacks", US_national_yearly!$D:$AM, 23, FALSE) / VLOOKUP("LULUCF|SO2|Non-fatal heart attacks", US_national_yearly!$D:$AM, 10, FALSE), 1)</f>
        <v>7.6990441975472828E-6</v>
      </c>
      <c r="P13" s="7">
        <f>$B13 * IFERROR(VLOOKUP("LULUCF|SO2|Non-fatal heart attacks", US_national_yearly!$D:$AM, 24, FALSE) / VLOOKUP("LULUCF|SO2|Non-fatal heart attacks", US_national_yearly!$D:$AM, 10, FALSE), 1)</f>
        <v>7.7838585387990268E-6</v>
      </c>
      <c r="Q13" s="7">
        <f>$B13 * IFERROR(VLOOKUP("LULUCF|SO2|Non-fatal heart attacks", US_national_yearly!$D:$AM, 25, FALSE) / VLOOKUP("LULUCF|SO2|Non-fatal heart attacks", US_national_yearly!$D:$AM, 10, FALSE), 1)</f>
        <v>7.8686728800507674E-6</v>
      </c>
      <c r="R13" s="7">
        <f>$B13 * IFERROR(VLOOKUP("LULUCF|SO2|Non-fatal heart attacks", US_national_yearly!$D:$AM, 26, FALSE) / VLOOKUP("LULUCF|SO2|Non-fatal heart attacks", US_national_yearly!$D:$AM, 10, FALSE), 1)</f>
        <v>7.9534872213025096E-6</v>
      </c>
      <c r="S13" s="7">
        <f>$B13 * IFERROR(VLOOKUP("LULUCF|SO2|Non-fatal heart attacks", US_national_yearly!$D:$AM, 27, FALSE) / VLOOKUP("LULUCF|SO2|Non-fatal heart attacks", US_national_yearly!$D:$AM, 10, FALSE), 1)</f>
        <v>7.9977683118072671E-6</v>
      </c>
      <c r="T13" s="7">
        <f>$B13 * IFERROR(VLOOKUP("LULUCF|SO2|Non-fatal heart attacks", US_national_yearly!$D:$AM, 28, FALSE) / VLOOKUP("LULUCF|SO2|Non-fatal heart attacks", US_national_yearly!$D:$AM, 10, FALSE), 1)</f>
        <v>8.0420494023120246E-6</v>
      </c>
      <c r="U13" s="7">
        <f>$B13 * IFERROR(VLOOKUP("LULUCF|SO2|Non-fatal heart attacks", US_national_yearly!$D:$AM, 29, FALSE) / VLOOKUP("LULUCF|SO2|Non-fatal heart attacks", US_national_yearly!$D:$AM, 10, FALSE), 1)</f>
        <v>8.0863304928167804E-6</v>
      </c>
      <c r="V13" s="7">
        <f>$B13 * IFERROR(VLOOKUP("LULUCF|SO2|Non-fatal heart attacks", US_national_yearly!$D:$AM, 30, FALSE) / VLOOKUP("LULUCF|SO2|Non-fatal heart attacks", US_national_yearly!$D:$AM, 10, FALSE), 1)</f>
        <v>8.1306115833215362E-6</v>
      </c>
      <c r="W13" s="7">
        <f>$B13 * IFERROR(VLOOKUP("LULUCF|SO2|Non-fatal heart attacks", US_national_yearly!$D:$AM, 31, FALSE) / VLOOKUP("LULUCF|SO2|Non-fatal heart attacks", US_national_yearly!$D:$AM, 10, FALSE), 1)</f>
        <v>8.1748926738262936E-6</v>
      </c>
      <c r="X13" s="7">
        <f>$B13 * IFERROR(VLOOKUP("LULUCF|SO2|Non-fatal heart attacks", US_national_yearly!$D:$AM, 32, FALSE) / VLOOKUP("LULUCF|SO2|Non-fatal heart attacks", US_national_yearly!$D:$AM, 10, FALSE), 1)</f>
        <v>8.2083210237198649E-6</v>
      </c>
      <c r="Y13" s="7">
        <f>$B13 * IFERROR(VLOOKUP("LULUCF|SO2|Non-fatal heart attacks", US_national_yearly!$D:$AM, 33, FALSE) / VLOOKUP("LULUCF|SO2|Non-fatal heart attacks", US_national_yearly!$D:$AM, 10, FALSE), 1)</f>
        <v>8.2417493736134345E-6</v>
      </c>
      <c r="Z13" s="7">
        <f>$B13 * IFERROR(VLOOKUP("LULUCF|SO2|Non-fatal heart attacks", US_national_yearly!$D:$AM, 34, FALSE) / VLOOKUP("LULUCF|SO2|Non-fatal heart attacks", US_national_yearly!$D:$AM, 10, FALSE), 1)</f>
        <v>8.275177723507004E-6</v>
      </c>
      <c r="AA13" s="7">
        <f>$B13 * IFERROR(VLOOKUP("LULUCF|SO2|Non-fatal heart attacks", US_national_yearly!$D:$AM, 35, FALSE) / VLOOKUP("LULUCF|SO2|Non-fatal heart attacks", US_national_yearly!$D:$AM, 10, FALSE), 1)</f>
        <v>8.3086060734005753E-6</v>
      </c>
      <c r="AB13" s="7">
        <f>$B13 * IFERROR(VLOOKUP("LULUCF|SO2|Non-fatal heart attacks", US_national_yearly!$D:$AM, 36, FALSE) / VLOOKUP("LULUCF|SO2|Non-fatal heart attacks", US_national_yearly!$D:$AM, 10, FALSE), 1)</f>
        <v>8.3420344232941449E-6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5.7428457427548506E-3</v>
      </c>
      <c r="C14" s="7">
        <f>$B14 * IFERROR(VLOOKUP("LULUCF|SO2|Minor restricted activity days", US_national_yearly!$D:$AM, 11, FALSE) / VLOOKUP("LULUCF|SO2|Minor restricted activity days", US_national_yearly!$D:$AM, 10, FALSE), 1)</f>
        <v>5.7573215434002251E-3</v>
      </c>
      <c r="D14" s="7">
        <f>$B14 * IFERROR(VLOOKUP("LULUCF|SO2|Minor restricted activity days", US_national_yearly!$D:$AM, 12, FALSE) / VLOOKUP("LULUCF|SO2|Minor restricted activity days", US_national_yearly!$D:$AM, 10, FALSE), 1)</f>
        <v>5.7717973440455988E-3</v>
      </c>
      <c r="E14" s="7">
        <f>$B14 * IFERROR(VLOOKUP("LULUCF|SO2|Minor restricted activity days", US_national_yearly!$D:$AM, 13, FALSE) / VLOOKUP("LULUCF|SO2|Minor restricted activity days", US_national_yearly!$D:$AM, 10, FALSE), 1)</f>
        <v>5.7862731446909734E-3</v>
      </c>
      <c r="F14" s="7">
        <f>$B14 * IFERROR(VLOOKUP("LULUCF|SO2|Minor restricted activity days", US_national_yearly!$D:$AM, 14, FALSE) / VLOOKUP("LULUCF|SO2|Minor restricted activity days", US_national_yearly!$D:$AM, 10, FALSE), 1)</f>
        <v>5.8007489453363471E-3</v>
      </c>
      <c r="G14" s="7">
        <f>$B14 * IFERROR(VLOOKUP("LULUCF|SO2|Minor restricted activity days", US_national_yearly!$D:$AM, 15, FALSE) / VLOOKUP("LULUCF|SO2|Minor restricted activity days", US_national_yearly!$D:$AM, 10, FALSE), 1)</f>
        <v>5.8220559017757413E-3</v>
      </c>
      <c r="H14" s="7">
        <f>$B14 * IFERROR(VLOOKUP("LULUCF|SO2|Minor restricted activity days", US_national_yearly!$D:$AM, 16, FALSE) / VLOOKUP("LULUCF|SO2|Minor restricted activity days", US_national_yearly!$D:$AM, 10, FALSE), 1)</f>
        <v>5.8433628582151365E-3</v>
      </c>
      <c r="I14" s="7">
        <f>$B14 * IFERROR(VLOOKUP("LULUCF|SO2|Minor restricted activity days", US_national_yearly!$D:$AM, 17, FALSE) / VLOOKUP("LULUCF|SO2|Minor restricted activity days", US_national_yearly!$D:$AM, 10, FALSE), 1)</f>
        <v>5.879699886381492E-3</v>
      </c>
      <c r="J14" s="7">
        <f>$B14 * IFERROR(VLOOKUP("LULUCF|SO2|Minor restricted activity days", US_national_yearly!$D:$AM, 18, FALSE) / VLOOKUP("LULUCF|SO2|Minor restricted activity days", US_national_yearly!$D:$AM, 10, FALSE), 1)</f>
        <v>5.9160369145478476E-3</v>
      </c>
      <c r="K14" s="7">
        <f>$B14 * IFERROR(VLOOKUP("LULUCF|SO2|Minor restricted activity days", US_national_yearly!$D:$AM, 19, FALSE) / VLOOKUP("LULUCF|SO2|Minor restricted activity days", US_national_yearly!$D:$AM, 10, FALSE), 1)</f>
        <v>5.9523739427142048E-3</v>
      </c>
      <c r="L14" s="7">
        <f>$B14 * IFERROR(VLOOKUP("LULUCF|SO2|Minor restricted activity days", US_national_yearly!$D:$AM, 20, FALSE) / VLOOKUP("LULUCF|SO2|Minor restricted activity days", US_national_yearly!$D:$AM, 10, FALSE), 1)</f>
        <v>5.9887109708805604E-3</v>
      </c>
      <c r="M14" s="7">
        <f>$B14 * IFERROR(VLOOKUP("LULUCF|SO2|Minor restricted activity days", US_national_yearly!$D:$AM, 21, FALSE) / VLOOKUP("LULUCF|SO2|Minor restricted activity days", US_national_yearly!$D:$AM, 10, FALSE), 1)</f>
        <v>6.0250479990469159E-3</v>
      </c>
      <c r="N14" s="7">
        <f>$B14 * IFERROR(VLOOKUP("LULUCF|SO2|Minor restricted activity days", US_national_yearly!$D:$AM, 22, FALSE) / VLOOKUP("LULUCF|SO2|Minor restricted activity days", US_national_yearly!$D:$AM, 10, FALSE), 1)</f>
        <v>6.0747512229760731E-3</v>
      </c>
      <c r="O14" s="7">
        <f>$B14 * IFERROR(VLOOKUP("LULUCF|SO2|Minor restricted activity days", US_national_yearly!$D:$AM, 23, FALSE) / VLOOKUP("LULUCF|SO2|Minor restricted activity days", US_national_yearly!$D:$AM, 10, FALSE), 1)</f>
        <v>6.1244544469052312E-3</v>
      </c>
      <c r="P14" s="7">
        <f>$B14 * IFERROR(VLOOKUP("LULUCF|SO2|Minor restricted activity days", US_national_yearly!$D:$AM, 24, FALSE) / VLOOKUP("LULUCF|SO2|Minor restricted activity days", US_national_yearly!$D:$AM, 10, FALSE), 1)</f>
        <v>6.1741576708343885E-3</v>
      </c>
      <c r="Q14" s="7">
        <f>$B14 * IFERROR(VLOOKUP("LULUCF|SO2|Minor restricted activity days", US_national_yearly!$D:$AM, 25, FALSE) / VLOOKUP("LULUCF|SO2|Minor restricted activity days", US_national_yearly!$D:$AM, 10, FALSE), 1)</f>
        <v>6.2238608947635457E-3</v>
      </c>
      <c r="R14" s="7">
        <f>$B14 * IFERROR(VLOOKUP("LULUCF|SO2|Minor restricted activity days", US_national_yearly!$D:$AM, 26, FALSE) / VLOOKUP("LULUCF|SO2|Minor restricted activity days", US_national_yearly!$D:$AM, 10, FALSE), 1)</f>
        <v>6.2735641186927029E-3</v>
      </c>
      <c r="S14" s="7">
        <f>$B14 * IFERROR(VLOOKUP("LULUCF|SO2|Minor restricted activity days", US_national_yearly!$D:$AM, 27, FALSE) / VLOOKUP("LULUCF|SO2|Minor restricted activity days", US_national_yearly!$D:$AM, 10, FALSE), 1)</f>
        <v>6.3242414201380836E-3</v>
      </c>
      <c r="T14" s="7">
        <f>$B14 * IFERROR(VLOOKUP("LULUCF|SO2|Minor restricted activity days", US_national_yearly!$D:$AM, 28, FALSE) / VLOOKUP("LULUCF|SO2|Minor restricted activity days", US_national_yearly!$D:$AM, 10, FALSE), 1)</f>
        <v>6.3749187215834642E-3</v>
      </c>
      <c r="U14" s="7">
        <f>$B14 * IFERROR(VLOOKUP("LULUCF|SO2|Minor restricted activity days", US_national_yearly!$D:$AM, 29, FALSE) / VLOOKUP("LULUCF|SO2|Minor restricted activity days", US_national_yearly!$D:$AM, 10, FALSE), 1)</f>
        <v>6.4255960230288458E-3</v>
      </c>
      <c r="V14" s="7">
        <f>$B14 * IFERROR(VLOOKUP("LULUCF|SO2|Minor restricted activity days", US_national_yearly!$D:$AM, 30, FALSE) / VLOOKUP("LULUCF|SO2|Minor restricted activity days", US_national_yearly!$D:$AM, 10, FALSE), 1)</f>
        <v>6.4762733244742264E-3</v>
      </c>
      <c r="W14" s="7">
        <f>$B14 * IFERROR(VLOOKUP("LULUCF|SO2|Minor restricted activity days", US_national_yearly!$D:$AM, 31, FALSE) / VLOOKUP("LULUCF|SO2|Minor restricted activity days", US_national_yearly!$D:$AM, 10, FALSE), 1)</f>
        <v>6.5269506259196088E-3</v>
      </c>
      <c r="X14" s="7">
        <f>$B14 * IFERROR(VLOOKUP("LULUCF|SO2|Minor restricted activity days", US_national_yearly!$D:$AM, 32, FALSE) / VLOOKUP("LULUCF|SO2|Minor restricted activity days", US_national_yearly!$D:$AM, 10, FALSE), 1)</f>
        <v>6.57151727412665E-3</v>
      </c>
      <c r="Y14" s="7">
        <f>$B14 * IFERROR(VLOOKUP("LULUCF|SO2|Minor restricted activity days", US_national_yearly!$D:$AM, 33, FALSE) / VLOOKUP("LULUCF|SO2|Minor restricted activity days", US_national_yearly!$D:$AM, 10, FALSE), 1)</f>
        <v>6.6160839223336921E-3</v>
      </c>
      <c r="Z14" s="7">
        <f>$B14 * IFERROR(VLOOKUP("LULUCF|SO2|Minor restricted activity days", US_national_yearly!$D:$AM, 34, FALSE) / VLOOKUP("LULUCF|SO2|Minor restricted activity days", US_national_yearly!$D:$AM, 10, FALSE), 1)</f>
        <v>6.6606505705407342E-3</v>
      </c>
      <c r="AA14" s="7">
        <f>$B14 * IFERROR(VLOOKUP("LULUCF|SO2|Minor restricted activity days", US_national_yearly!$D:$AM, 35, FALSE) / VLOOKUP("LULUCF|SO2|Minor restricted activity days", US_national_yearly!$D:$AM, 10, FALSE), 1)</f>
        <v>6.7052172187477763E-3</v>
      </c>
      <c r="AB14" s="7">
        <f>$B14 * IFERROR(VLOOKUP("LULUCF|SO2|Minor restricted activity days", US_national_yearly!$D:$AM, 36, FALSE) / VLOOKUP("LULUCF|SO2|Minor restricted activity days", US_national_yearly!$D:$AM, 10, FALSE), 1)</f>
        <v>6.7497838669548183E-3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9.7495921743919335E-4</v>
      </c>
      <c r="C15" s="7">
        <f>$B15 * IFERROR(VLOOKUP("LULUCF|SO2|Work loss days", US_national_yearly!$D:$AM, 11, FALSE) / VLOOKUP("LULUCF|SO2|Work loss days", US_national_yearly!$D:$AM, 10, FALSE), 1)</f>
        <v>9.7811793034763522E-4</v>
      </c>
      <c r="D15" s="7">
        <f>$B15 * IFERROR(VLOOKUP("LULUCF|SO2|Work loss days", US_national_yearly!$D:$AM, 12, FALSE) / VLOOKUP("LULUCF|SO2|Work loss days", US_national_yearly!$D:$AM, 10, FALSE), 1)</f>
        <v>9.812766432560772E-4</v>
      </c>
      <c r="E15" s="7">
        <f>$B15 * IFERROR(VLOOKUP("LULUCF|SO2|Work loss days", US_national_yearly!$D:$AM, 13, FALSE) / VLOOKUP("LULUCF|SO2|Work loss days", US_national_yearly!$D:$AM, 10, FALSE), 1)</f>
        <v>9.8443535616451919E-4</v>
      </c>
      <c r="F15" s="7">
        <f>$B15 * IFERROR(VLOOKUP("LULUCF|SO2|Work loss days", US_national_yearly!$D:$AM, 14, FALSE) / VLOOKUP("LULUCF|SO2|Work loss days", US_national_yearly!$D:$AM, 10, FALSE), 1)</f>
        <v>9.8759406907296117E-4</v>
      </c>
      <c r="G15" s="7">
        <f>$B15 * IFERROR(VLOOKUP("LULUCF|SO2|Work loss days", US_national_yearly!$D:$AM, 15, FALSE) / VLOOKUP("LULUCF|SO2|Work loss days", US_national_yearly!$D:$AM, 10, FALSE), 1)</f>
        <v>9.917213139810678E-4</v>
      </c>
      <c r="H15" s="7">
        <f>$B15 * IFERROR(VLOOKUP("LULUCF|SO2|Work loss days", US_national_yearly!$D:$AM, 16, FALSE) / VLOOKUP("LULUCF|SO2|Work loss days", US_national_yearly!$D:$AM, 10, FALSE), 1)</f>
        <v>9.9584855888917444E-4</v>
      </c>
      <c r="I15" s="7">
        <f>$B15 * IFERROR(VLOOKUP("LULUCF|SO2|Work loss days", US_national_yearly!$D:$AM, 17, FALSE) / VLOOKUP("LULUCF|SO2|Work loss days", US_national_yearly!$D:$AM, 10, FALSE), 1)</f>
        <v>1.0018861641470768E-3</v>
      </c>
      <c r="J15" s="7">
        <f>$B15 * IFERROR(VLOOKUP("LULUCF|SO2|Work loss days", US_national_yearly!$D:$AM, 18, FALSE) / VLOOKUP("LULUCF|SO2|Work loss days", US_national_yearly!$D:$AM, 10, FALSE), 1)</f>
        <v>1.0079237694049787E-3</v>
      </c>
      <c r="K15" s="7">
        <f>$B15 * IFERROR(VLOOKUP("LULUCF|SO2|Work loss days", US_national_yearly!$D:$AM, 19, FALSE) / VLOOKUP("LULUCF|SO2|Work loss days", US_national_yearly!$D:$AM, 10, FALSE), 1)</f>
        <v>1.0139613746628811E-3</v>
      </c>
      <c r="L15" s="7">
        <f>$B15 * IFERROR(VLOOKUP("LULUCF|SO2|Work loss days", US_national_yearly!$D:$AM, 20, FALSE) / VLOOKUP("LULUCF|SO2|Work loss days", US_national_yearly!$D:$AM, 10, FALSE), 1)</f>
        <v>1.0199989799207832E-3</v>
      </c>
      <c r="M15" s="7">
        <f>$B15 * IFERROR(VLOOKUP("LULUCF|SO2|Work loss days", US_national_yearly!$D:$AM, 21, FALSE) / VLOOKUP("LULUCF|SO2|Work loss days", US_national_yearly!$D:$AM, 10, FALSE), 1)</f>
        <v>1.0260365851786856E-3</v>
      </c>
      <c r="N15" s="7">
        <f>$B15 * IFERROR(VLOOKUP("LULUCF|SO2|Work loss days", US_national_yearly!$D:$AM, 22, FALSE) / VLOOKUP("LULUCF|SO2|Work loss days", US_national_yearly!$D:$AM, 10, FALSE), 1)</f>
        <v>1.0336067637746723E-3</v>
      </c>
      <c r="O15" s="7">
        <f>$B15 * IFERROR(VLOOKUP("LULUCF|SO2|Work loss days", US_national_yearly!$D:$AM, 23, FALSE) / VLOOKUP("LULUCF|SO2|Work loss days", US_national_yearly!$D:$AM, 10, FALSE), 1)</f>
        <v>1.0411769423706589E-3</v>
      </c>
      <c r="P15" s="7">
        <f>$B15 * IFERROR(VLOOKUP("LULUCF|SO2|Work loss days", US_national_yearly!$D:$AM, 24, FALSE) / VLOOKUP("LULUCF|SO2|Work loss days", US_national_yearly!$D:$AM, 10, FALSE), 1)</f>
        <v>1.0487471209666454E-3</v>
      </c>
      <c r="Q15" s="7">
        <f>$B15 * IFERROR(VLOOKUP("LULUCF|SO2|Work loss days", US_national_yearly!$D:$AM, 25, FALSE) / VLOOKUP("LULUCF|SO2|Work loss days", US_national_yearly!$D:$AM, 10, FALSE), 1)</f>
        <v>1.0563172995626323E-3</v>
      </c>
      <c r="R15" s="7">
        <f>$B15 * IFERROR(VLOOKUP("LULUCF|SO2|Work loss days", US_national_yearly!$D:$AM, 26, FALSE) / VLOOKUP("LULUCF|SO2|Work loss days", US_national_yearly!$D:$AM, 10, FALSE), 1)</f>
        <v>1.0638874781586189E-3</v>
      </c>
      <c r="S15" s="7">
        <f>$B15 * IFERROR(VLOOKUP("LULUCF|SO2|Work loss days", US_national_yearly!$D:$AM, 27, FALSE) / VLOOKUP("LULUCF|SO2|Work loss days", US_national_yearly!$D:$AM, 10, FALSE), 1)</f>
        <v>1.0723471277810739E-3</v>
      </c>
      <c r="T15" s="7">
        <f>$B15 * IFERROR(VLOOKUP("LULUCF|SO2|Work loss days", US_national_yearly!$D:$AM, 28, FALSE) / VLOOKUP("LULUCF|SO2|Work loss days", US_national_yearly!$D:$AM, 10, FALSE), 1)</f>
        <v>1.0808067774035293E-3</v>
      </c>
      <c r="U15" s="7">
        <f>$B15 * IFERROR(VLOOKUP("LULUCF|SO2|Work loss days", US_national_yearly!$D:$AM, 29, FALSE) / VLOOKUP("LULUCF|SO2|Work loss days", US_national_yearly!$D:$AM, 10, FALSE), 1)</f>
        <v>1.0892664270259842E-3</v>
      </c>
      <c r="V15" s="7">
        <f>$B15 * IFERROR(VLOOKUP("LULUCF|SO2|Work loss days", US_national_yearly!$D:$AM, 30, FALSE) / VLOOKUP("LULUCF|SO2|Work loss days", US_national_yearly!$D:$AM, 10, FALSE), 1)</f>
        <v>1.0977260766484394E-3</v>
      </c>
      <c r="W15" s="7">
        <f>$B15 * IFERROR(VLOOKUP("LULUCF|SO2|Work loss days", US_national_yearly!$D:$AM, 31, FALSE) / VLOOKUP("LULUCF|SO2|Work loss days", US_national_yearly!$D:$AM, 10, FALSE), 1)</f>
        <v>1.1061857262708945E-3</v>
      </c>
      <c r="X15" s="7">
        <f>$B15 * IFERROR(VLOOKUP("LULUCF|SO2|Work loss days", US_national_yearly!$D:$AM, 32, FALSE) / VLOOKUP("LULUCF|SO2|Work loss days", US_national_yearly!$D:$AM, 10, FALSE), 1)</f>
        <v>1.113781325582388E-3</v>
      </c>
      <c r="Y15" s="7">
        <f>$B15 * IFERROR(VLOOKUP("LULUCF|SO2|Work loss days", US_national_yearly!$D:$AM, 33, FALSE) / VLOOKUP("LULUCF|SO2|Work loss days", US_national_yearly!$D:$AM, 10, FALSE), 1)</f>
        <v>1.1213769248938816E-3</v>
      </c>
      <c r="Z15" s="7">
        <f>$B15 * IFERROR(VLOOKUP("LULUCF|SO2|Work loss days", US_national_yearly!$D:$AM, 34, FALSE) / VLOOKUP("LULUCF|SO2|Work loss days", US_national_yearly!$D:$AM, 10, FALSE), 1)</f>
        <v>1.1289725242053753E-3</v>
      </c>
      <c r="AA15" s="7">
        <f>$B15 * IFERROR(VLOOKUP("LULUCF|SO2|Work loss days", US_national_yearly!$D:$AM, 35, FALSE) / VLOOKUP("LULUCF|SO2|Work loss days", US_national_yearly!$D:$AM, 10, FALSE), 1)</f>
        <v>1.136568123516869E-3</v>
      </c>
      <c r="AB15" s="7">
        <f>$B15 * IFERROR(VLOOKUP("LULUCF|SO2|Work loss days", US_national_yearly!$D:$AM, 36, FALSE) / VLOOKUP("LULUCF|SO2|Work loss days", US_national_yearly!$D:$AM, 10, FALSE), 1)</f>
        <v>1.1441637228283626E-3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1.6894659391866682E-6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1.7405618588653223E-6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1.7916577785439765E-6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1.8427536982226309E-6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1.8938496179012853E-6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1.9427946504908773E-6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1.9917396830804702E-6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2.0336760244700215E-6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2.0756123658595732E-6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2.1175487072491249E-6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2.1594850486386766E-6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2.2014213900282279E-6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2.2295930587723825E-6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2.2577647275165366E-6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2.2859363962606908E-6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2.3141080650048454E-6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2.342279733749E-6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2.357096025683737E-6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2.371912317618474E-6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2.3867286095532111E-6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2.4015449014879485E-6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2.4163611934226855E-6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2.4263078599876656E-6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2.4362545265526457E-6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2.4462011931176253E-6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2.4561478596826058E-6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2.4660945262475854E-6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2026-06-15T17:15:13Z</dcterms:modified>
</cp:coreProperties>
</file>