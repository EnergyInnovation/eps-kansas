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KS\add-outputs\NoH\"/>
    </mc:Choice>
  </mc:AlternateContent>
  <xr:revisionPtr revIDLastSave="0" documentId="8_{E4E51A94-C1DF-4D32-933E-6483E581065E}"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G2" i="3"/>
  <c r="M2" i="3"/>
  <c r="D2" i="3"/>
  <c r="Z2" i="3"/>
  <c r="L2" i="3"/>
  <c r="N2" i="3"/>
  <c r="P2" i="3"/>
  <c r="R2" i="3"/>
  <c r="T2" i="3"/>
  <c r="V2" i="3"/>
  <c r="X2" i="3"/>
  <c r="E2" i="3"/>
  <c r="AA2" i="3"/>
  <c r="O2" i="3"/>
  <c r="F2" i="3"/>
  <c r="AB2" i="3"/>
  <c r="AC2" i="3"/>
  <c r="H2" i="3"/>
  <c r="AD2" i="3"/>
  <c r="I2" i="3"/>
  <c r="AE2" i="3"/>
  <c r="S2" i="3"/>
  <c r="U2" i="3"/>
  <c r="J2" i="3"/>
  <c r="B2" i="3"/>
  <c r="K2" i="3"/>
  <c r="Q2" i="3"/>
  <c r="W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<sst xmlns="http://schemas.openxmlformats.org/spreadsheetml/2006/main" count="1069" uniqueCount="448">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</sst>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356</v>
      </c>
      <c r="C1" s="68">
        <v>46185</v>
      </c>
      <c r="H1" t="s">
        <v>324</v>
      </c>
      <c r="I1" t="s">
        <v>325</v>
      </c>
    </row>
    <row r="2" spans="1:9" x14ac:dyDescent="0.25">
      <c r="B2" t="str">
        <f>VLOOKUP(B1,H2:I52,2)</f>
        <v>KS</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1125413.9959952282</v>
      </c>
      <c r="C2">
        <f>SUMIFS('state calcs'!C62:C112,'state calcs'!$A$62:$A$112,About!$B$2)</f>
        <v>1139328.3536351034</v>
      </c>
      <c r="D2">
        <f>SUMIFS('state calcs'!D62:D112,'state calcs'!$A$62:$A$112,About!$B$2)</f>
        <v>1146455.7404183794</v>
      </c>
      <c r="E2">
        <f>SUMIFS('state calcs'!E62:E112,'state calcs'!$A$62:$A$112,About!$B$2)</f>
        <v>1153572.8795540838</v>
      </c>
      <c r="F2">
        <f>SUMIFS('state calcs'!F62:F112,'state calcs'!$A$62:$A$112,About!$B$2)</f>
        <v>1160901.2609101597</v>
      </c>
      <c r="G2">
        <f>SUMIFS('state calcs'!G62:G112,'state calcs'!$A$62:$A$112,About!$B$2)</f>
        <v>1168169.5662565094</v>
      </c>
      <c r="H2">
        <f>SUMIFS('state calcs'!H62:H112,'state calcs'!$A$62:$A$112,About!$B$2)</f>
        <v>1175461.7849923302</v>
      </c>
      <c r="I2">
        <f>SUMIFS('state calcs'!I62:I112,'state calcs'!$A$62:$A$112,About!$B$2)</f>
        <v>1182799.4858122901</v>
      </c>
      <c r="J2">
        <f>SUMIFS('state calcs'!J62:J112,'state calcs'!$A$62:$A$112,About!$B$2)</f>
        <v>1190025.2898809514</v>
      </c>
      <c r="K2">
        <f>SUMIFS('state calcs'!K62:K112,'state calcs'!$A$62:$A$112,About!$B$2)</f>
        <v>1196950.0454496276</v>
      </c>
      <c r="L2">
        <f>SUMIFS('state calcs'!L62:L112,'state calcs'!$A$62:$A$112,About!$B$2)</f>
        <v>1201808.4579489878</v>
      </c>
      <c r="M2">
        <f>SUMIFS('state calcs'!M62:M112,'state calcs'!$A$62:$A$112,About!$B$2)</f>
        <v>1206537.7665608299</v>
      </c>
      <c r="N2">
        <f>SUMIFS('state calcs'!N62:N112,'state calcs'!$A$62:$A$112,About!$B$2)</f>
        <v>1210996.106237056</v>
      </c>
      <c r="O2">
        <f>SUMIFS('state calcs'!O62:O112,'state calcs'!$A$62:$A$112,About!$B$2)</f>
        <v>1215098.697642101</v>
      </c>
      <c r="P2">
        <f>SUMIFS('state calcs'!P62:P112,'state calcs'!$A$62:$A$112,About!$B$2)</f>
        <v>1219024.7262821412</v>
      </c>
      <c r="Q2">
        <f>SUMIFS('state calcs'!Q62:Q112,'state calcs'!$A$62:$A$112,About!$B$2)</f>
        <v>1222917.4379234016</v>
      </c>
      <c r="R2">
        <f>SUMIFS('state calcs'!R62:R112,'state calcs'!$A$62:$A$112,About!$B$2)</f>
        <v>1226704.8611127918</v>
      </c>
      <c r="S2">
        <f>SUMIFS('state calcs'!S62:S112,'state calcs'!$A$62:$A$112,About!$B$2)</f>
        <v>1230408.5829693857</v>
      </c>
      <c r="T2">
        <f>SUMIFS('state calcs'!T62:T112,'state calcs'!$A$62:$A$112,About!$B$2)</f>
        <v>1234001.6203718181</v>
      </c>
      <c r="U2">
        <f>SUMIFS('state calcs'!U62:U112,'state calcs'!$A$62:$A$112,About!$B$2)</f>
        <v>1237652.6991983689</v>
      </c>
      <c r="V2">
        <f>SUMIFS('state calcs'!V62:V112,'state calcs'!$A$62:$A$112,About!$B$2)</f>
        <v>1240907.6633253552</v>
      </c>
      <c r="W2">
        <f>SUMIFS('state calcs'!W62:W112,'state calcs'!$A$62:$A$112,About!$B$2)</f>
        <v>1243971.7034801699</v>
      </c>
      <c r="X2">
        <f>SUMIFS('state calcs'!X62:X112,'state calcs'!$A$62:$A$112,About!$B$2)</f>
        <v>1246913.9229803667</v>
      </c>
      <c r="Y2">
        <f>SUMIFS('state calcs'!Y62:Y112,'state calcs'!$A$62:$A$112,About!$B$2)</f>
        <v>1249742.0885552168</v>
      </c>
      <c r="Z2">
        <f>SUMIFS('state calcs'!Z62:Z112,'state calcs'!$A$62:$A$112,About!$B$2)</f>
        <v>1252466.3779258002</v>
      </c>
      <c r="AA2">
        <f>SUMIFS('state calcs'!AA62:AA112,'state calcs'!$A$62:$A$112,About!$B$2)</f>
        <v>1255056.6103900166</v>
      </c>
      <c r="AB2">
        <f>SUMIFS('state calcs'!AB62:AB112,'state calcs'!$A$62:$A$112,About!$B$2)</f>
        <v>1257567.0729735638</v>
      </c>
      <c r="AC2">
        <f>SUMIFS('state calcs'!AC62:AC112,'state calcs'!$A$62:$A$112,About!$B$2)</f>
        <v>1259939.9060768152</v>
      </c>
      <c r="AD2">
        <f>SUMIFS('state calcs'!AD62:AD112,'state calcs'!$A$62:$A$112,About!$B$2)</f>
        <v>1262168.1015619007</v>
      </c>
      <c r="AE2">
        <f>SUMIFS('state calcs'!AE62:AE112,'state calcs'!$A$62:$A$112,About!$B$2)</f>
        <v>1264278.1079141395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2026-06-12T19:28:35Z</dcterms:modified>
</cp:coreProperties>
</file>