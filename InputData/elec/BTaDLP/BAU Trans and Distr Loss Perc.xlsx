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BTaDLP\"/>
    </mc:Choice>
  </mc:AlternateContent>
  <xr:revisionPtr revIDLastSave="0" documentId="8_{C1CE9430-B1ED-4896-9A29-5E7C71748068}" xr6:coauthVersionLast="47" xr6:coauthVersionMax="47" xr10:uidLastSave="{00000000-0000-0000-0000-000000000000}"/>
  <bookViews>
    <workbookView xWindow="8790" yWindow="2040" windowWidth="18540" windowHeight="14325"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8" l="1"/>
  <c r="B1" i="8"/>
  <c r="B2" i="1"/>
  <c r="B3" i="8" l="1"/>
  <c r="B2" i="2" s="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<sst xmlns="http://schemas.openxmlformats.org/spreadsheetml/2006/main" count="3266" uniqueCount="175">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</sst>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4">
    <fill>
      <patternFill patternType="none"/>
    </fill>
    <fill>
      <patternFill patternType="gray125"/>
    </fill>
    <fill>
      <patternFill patternType="solid">
        <fgColor rgb="FFFFFF00"/>
        <bgColor indexed="64"/>
      </patternFill>
    </fill>
    <fill>
      <patternFill patternType="solid">
        <fgColor rgb="FFBFBFBF"/>
        <bgColor rgb="FFBFBFBF"/>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3" fillId="2" borderId="0" xfId="2" applyFill="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4.75" x14ac:dyDescent="0.75"/>
  <sheetData>
    <row r="1" spans="1:10" x14ac:dyDescent="0.75">
      <c r="A1" s="1" t="s">
        <v>2</v>
      </c>
      <c r="B1" s="14" t="s">
        <v>86</v>
      </c>
      <c r="C1" s="15">
        <v>45320</v>
      </c>
      <c r="I1" s="14" t="s">
        <v>9</v>
      </c>
      <c r="J1" s="14" t="s">
        <v>125</v>
      </c>
    </row>
    <row r="2" spans="1:10" x14ac:dyDescent="0.75">
      <c r="B2" s="7" t="str">
        <f>LOOKUP(B1,I1:J50,J1:J50)</f>
        <v>KS</v>
      </c>
      <c r="I2" s="14" t="s">
        <v>72</v>
      </c>
      <c r="J2" s="14" t="s">
        <v>126</v>
      </c>
    </row>
    <row r="3" spans="1:10" x14ac:dyDescent="0.75">
      <c r="A3" s="1" t="s">
        <v>0</v>
      </c>
      <c r="B3" s="6" t="s">
        <v>121</v>
      </c>
      <c r="I3" s="14" t="s">
        <v>73</v>
      </c>
      <c r="J3" s="14" t="s">
        <v>127</v>
      </c>
    </row>
    <row r="4" spans="1:10" x14ac:dyDescent="0.75">
      <c r="B4" s="7" t="s">
        <v>1</v>
      </c>
      <c r="I4" s="14" t="s">
        <v>74</v>
      </c>
      <c r="J4" s="14" t="s">
        <v>128</v>
      </c>
    </row>
    <row r="5" spans="1:10" x14ac:dyDescent="0.75">
      <c r="B5" s="8">
        <v>2021</v>
      </c>
      <c r="I5" s="14" t="s">
        <v>75</v>
      </c>
      <c r="J5" s="14" t="s">
        <v>129</v>
      </c>
    </row>
    <row r="6" spans="1:10" x14ac:dyDescent="0.75">
      <c r="B6" s="7" t="s">
        <v>122</v>
      </c>
      <c r="I6" s="14" t="s">
        <v>76</v>
      </c>
      <c r="J6" s="14" t="s">
        <v>130</v>
      </c>
    </row>
    <row r="7" spans="1:10" x14ac:dyDescent="0.75">
      <c r="B7" s="9" t="s">
        <v>123</v>
      </c>
      <c r="I7" s="14" t="s">
        <v>77</v>
      </c>
      <c r="J7" s="14" t="s">
        <v>131</v>
      </c>
    </row>
    <row r="8" spans="1:10" x14ac:dyDescent="0.75">
      <c r="I8" s="14" t="s">
        <v>78</v>
      </c>
      <c r="J8" s="14" t="s">
        <v>132</v>
      </c>
    </row>
    <row r="9" spans="1:10" x14ac:dyDescent="0.75">
      <c r="A9" t="s">
        <v>4</v>
      </c>
      <c r="I9" s="14" t="s">
        <v>79</v>
      </c>
      <c r="J9" s="14" t="s">
        <v>133</v>
      </c>
    </row>
    <row r="10" spans="1:10" x14ac:dyDescent="0.75">
      <c r="A10" t="s">
        <v>5</v>
      </c>
      <c r="I10" s="14" t="s">
        <v>80</v>
      </c>
      <c r="J10" s="14" t="s">
        <v>134</v>
      </c>
    </row>
    <row r="11" spans="1:10" x14ac:dyDescent="0.75">
      <c r="A11" t="s">
        <v>6</v>
      </c>
      <c r="I11" s="14" t="s">
        <v>81</v>
      </c>
      <c r="J11" s="14" t="s">
        <v>135</v>
      </c>
    </row>
    <row r="12" spans="1:10" x14ac:dyDescent="0.75">
      <c r="I12" s="14" t="s">
        <v>82</v>
      </c>
      <c r="J12" s="14" t="s">
        <v>136</v>
      </c>
    </row>
    <row r="13" spans="1:10" x14ac:dyDescent="0.75">
      <c r="I13" s="14" t="s">
        <v>83</v>
      </c>
      <c r="J13" s="14" t="s">
        <v>137</v>
      </c>
    </row>
    <row r="14" spans="1:10" x14ac:dyDescent="0.75">
      <c r="I14" s="14" t="s">
        <v>84</v>
      </c>
      <c r="J14" s="14" t="s">
        <v>138</v>
      </c>
    </row>
    <row r="15" spans="1:10" x14ac:dyDescent="0.75">
      <c r="I15" s="14" t="s">
        <v>85</v>
      </c>
      <c r="J15" s="14" t="s">
        <v>139</v>
      </c>
    </row>
    <row r="16" spans="1:10" x14ac:dyDescent="0.75">
      <c r="I16" s="14" t="s">
        <v>86</v>
      </c>
      <c r="J16" s="14" t="s">
        <v>140</v>
      </c>
    </row>
    <row r="17" spans="9:10" x14ac:dyDescent="0.75">
      <c r="I17" s="14" t="s">
        <v>87</v>
      </c>
      <c r="J17" s="14" t="s">
        <v>141</v>
      </c>
    </row>
    <row r="18" spans="9:10" x14ac:dyDescent="0.75">
      <c r="I18" s="14" t="s">
        <v>88</v>
      </c>
      <c r="J18" s="14" t="s">
        <v>142</v>
      </c>
    </row>
    <row r="19" spans="9:10" x14ac:dyDescent="0.75">
      <c r="I19" s="14" t="s">
        <v>89</v>
      </c>
      <c r="J19" s="14" t="s">
        <v>143</v>
      </c>
    </row>
    <row r="20" spans="9:10" x14ac:dyDescent="0.75">
      <c r="I20" s="14" t="s">
        <v>102</v>
      </c>
      <c r="J20" s="14" t="s">
        <v>144</v>
      </c>
    </row>
    <row r="21" spans="9:10" x14ac:dyDescent="0.75">
      <c r="I21" s="14" t="s">
        <v>103</v>
      </c>
      <c r="J21" s="14" t="s">
        <v>145</v>
      </c>
    </row>
    <row r="22" spans="9:10" x14ac:dyDescent="0.75">
      <c r="I22" s="14" t="s">
        <v>104</v>
      </c>
      <c r="J22" s="14" t="s">
        <v>146</v>
      </c>
    </row>
    <row r="23" spans="9:10" x14ac:dyDescent="0.75">
      <c r="I23" s="14" t="s">
        <v>105</v>
      </c>
      <c r="J23" s="14" t="s">
        <v>147</v>
      </c>
    </row>
    <row r="24" spans="9:10" x14ac:dyDescent="0.75">
      <c r="I24" s="14" t="s">
        <v>106</v>
      </c>
      <c r="J24" s="14" t="s">
        <v>148</v>
      </c>
    </row>
    <row r="25" spans="9:10" x14ac:dyDescent="0.75">
      <c r="I25" s="14" t="s">
        <v>107</v>
      </c>
      <c r="J25" s="14" t="s">
        <v>149</v>
      </c>
    </row>
    <row r="26" spans="9:10" x14ac:dyDescent="0.75">
      <c r="I26" s="14" t="s">
        <v>90</v>
      </c>
      <c r="J26" s="14" t="s">
        <v>150</v>
      </c>
    </row>
    <row r="27" spans="9:10" x14ac:dyDescent="0.75">
      <c r="I27" s="14" t="s">
        <v>91</v>
      </c>
      <c r="J27" s="14" t="s">
        <v>151</v>
      </c>
    </row>
    <row r="28" spans="9:10" x14ac:dyDescent="0.75">
      <c r="I28" s="14" t="s">
        <v>92</v>
      </c>
      <c r="J28" s="14" t="s">
        <v>152</v>
      </c>
    </row>
    <row r="29" spans="9:10" x14ac:dyDescent="0.75">
      <c r="I29" s="14" t="s">
        <v>93</v>
      </c>
      <c r="J29" s="14" t="s">
        <v>153</v>
      </c>
    </row>
    <row r="30" spans="9:10" x14ac:dyDescent="0.75">
      <c r="I30" s="14" t="s">
        <v>94</v>
      </c>
      <c r="J30" s="14" t="s">
        <v>154</v>
      </c>
    </row>
    <row r="31" spans="9:10" x14ac:dyDescent="0.75">
      <c r="I31" s="14" t="s">
        <v>95</v>
      </c>
      <c r="J31" s="14" t="s">
        <v>155</v>
      </c>
    </row>
    <row r="32" spans="9:10" x14ac:dyDescent="0.75">
      <c r="I32" s="14" t="s">
        <v>96</v>
      </c>
      <c r="J32" s="14" t="s">
        <v>156</v>
      </c>
    </row>
    <row r="33" spans="9:10" x14ac:dyDescent="0.75">
      <c r="I33" s="14" t="s">
        <v>97</v>
      </c>
      <c r="J33" s="14" t="s">
        <v>157</v>
      </c>
    </row>
    <row r="34" spans="9:10" x14ac:dyDescent="0.75">
      <c r="I34" s="14" t="s">
        <v>98</v>
      </c>
      <c r="J34" s="14" t="s">
        <v>158</v>
      </c>
    </row>
    <row r="35" spans="9:10" x14ac:dyDescent="0.75">
      <c r="I35" s="14" t="s">
        <v>99</v>
      </c>
      <c r="J35" s="14" t="s">
        <v>159</v>
      </c>
    </row>
    <row r="36" spans="9:10" x14ac:dyDescent="0.75">
      <c r="I36" s="14" t="s">
        <v>100</v>
      </c>
      <c r="J36" s="14" t="s">
        <v>160</v>
      </c>
    </row>
    <row r="37" spans="9:10" x14ac:dyDescent="0.75">
      <c r="I37" s="14" t="s">
        <v>101</v>
      </c>
      <c r="J37" s="14" t="s">
        <v>161</v>
      </c>
    </row>
    <row r="38" spans="9:10" x14ac:dyDescent="0.75">
      <c r="I38" s="14" t="s">
        <v>108</v>
      </c>
      <c r="J38" s="14" t="s">
        <v>162</v>
      </c>
    </row>
    <row r="39" spans="9:10" x14ac:dyDescent="0.75">
      <c r="I39" s="14" t="s">
        <v>109</v>
      </c>
      <c r="J39" s="14" t="s">
        <v>163</v>
      </c>
    </row>
    <row r="40" spans="9:10" x14ac:dyDescent="0.75">
      <c r="I40" s="14" t="s">
        <v>110</v>
      </c>
      <c r="J40" s="14" t="s">
        <v>164</v>
      </c>
    </row>
    <row r="41" spans="9:10" x14ac:dyDescent="0.75">
      <c r="I41" s="14" t="s">
        <v>111</v>
      </c>
      <c r="J41" s="14" t="s">
        <v>165</v>
      </c>
    </row>
    <row r="42" spans="9:10" x14ac:dyDescent="0.75">
      <c r="I42" s="14" t="s">
        <v>112</v>
      </c>
      <c r="J42" s="14" t="s">
        <v>166</v>
      </c>
    </row>
    <row r="43" spans="9:10" x14ac:dyDescent="0.75">
      <c r="I43" s="14" t="s">
        <v>113</v>
      </c>
      <c r="J43" s="14" t="s">
        <v>167</v>
      </c>
    </row>
    <row r="44" spans="9:10" x14ac:dyDescent="0.75">
      <c r="I44" s="14" t="s">
        <v>114</v>
      </c>
      <c r="J44" s="14" t="s">
        <v>168</v>
      </c>
    </row>
    <row r="45" spans="9:10" x14ac:dyDescent="0.75">
      <c r="I45" s="14" t="s">
        <v>115</v>
      </c>
      <c r="J45" s="14" t="s">
        <v>169</v>
      </c>
    </row>
    <row r="46" spans="9:10" x14ac:dyDescent="0.75">
      <c r="I46" s="14" t="s">
        <v>116</v>
      </c>
      <c r="J46" s="14" t="s">
        <v>170</v>
      </c>
    </row>
    <row r="47" spans="9:10" x14ac:dyDescent="0.75">
      <c r="I47" s="14" t="s">
        <v>117</v>
      </c>
      <c r="J47" s="14" t="s">
        <v>171</v>
      </c>
    </row>
    <row r="48" spans="9:10" x14ac:dyDescent="0.75">
      <c r="I48" s="14" t="s">
        <v>118</v>
      </c>
      <c r="J48" s="14" t="s">
        <v>172</v>
      </c>
    </row>
    <row r="49" spans="9:10" x14ac:dyDescent="0.75">
      <c r="I49" s="14" t="s">
        <v>119</v>
      </c>
      <c r="J49" s="14" t="s">
        <v>173</v>
      </c>
    </row>
    <row r="50" spans="9:10" x14ac:dyDescent="0.75">
      <c r="I50" s="14" t="s">
        <v>120</v>
      </c>
      <c r="J50" s="14"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3"/>
  <sheetViews>
    <sheetView workbookViewId="0">
      <selection activeCell="E3" sqref="E3"/>
    </sheetView>
  </sheetViews>
  <sheetFormatPr defaultRowHeight="14.75" x14ac:dyDescent="0.75"/>
  <cols>
    <col min="1" max="1" width="24.31640625" bestFit="1" customWidth="1"/>
    <col min="2" max="2" width="10.953125" bestFit="1" customWidth="1"/>
  </cols>
  <sheetData>
    <row r="1" spans="1:2" x14ac:dyDescent="0.75">
      <c r="A1" s="10" t="s">
        <v>62</v>
      </c>
      <c r="B1" s="11">
        <f>SUMIFS('EIA_State Elec Profiles'!C:C,'EIA_State Elec Profiles'!A:A,About!$B$1,'EIA_State Elec Profiles'!B:B,A1)</f>
        <v>40491786</v>
      </c>
    </row>
    <row r="2" spans="1:2" x14ac:dyDescent="0.75">
      <c r="A2" t="s">
        <v>65</v>
      </c>
      <c r="B2" s="11">
        <f>SUMIFS('EIA_State Elec Profiles'!C:C,'EIA_State Elec Profiles'!A:A,About!$B$1,'EIA_State Elec Profiles'!B:B,A2)</f>
        <v>1904996</v>
      </c>
    </row>
    <row r="3" spans="1:2" x14ac:dyDescent="0.75">
      <c r="A3" s="12" t="s">
        <v>124</v>
      </c>
      <c r="B3" s="13">
        <f>B2/B1</f>
        <v>4.7046479994732757E-2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workbookViewId="0">
      <selection activeCell="B26" sqref="B26"/>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x14ac:dyDescent="0.75">
      <c r="A134" t="str">
        <f t="shared" si="4"/>
        <v>California</v>
      </c>
      <c r="B134" t="s">
        <v>49</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calc!B3</f>
        <v>4.7046479994732757E-2</v>
      </c>
      <c r="C2" s="2">
        <f>B2</f>
        <v>4.7046479994732757E-2</v>
      </c>
      <c r="D2" s="2">
        <f t="shared" ref="D2:AF2" si="0">C2</f>
        <v>4.7046479994732757E-2</v>
      </c>
      <c r="E2" s="2">
        <f t="shared" si="0"/>
        <v>4.7046479994732757E-2</v>
      </c>
      <c r="F2" s="2">
        <f t="shared" si="0"/>
        <v>4.7046479994732757E-2</v>
      </c>
      <c r="G2" s="2">
        <f t="shared" si="0"/>
        <v>4.7046479994732757E-2</v>
      </c>
      <c r="H2" s="2">
        <f t="shared" si="0"/>
        <v>4.7046479994732757E-2</v>
      </c>
      <c r="I2" s="2">
        <f t="shared" si="0"/>
        <v>4.7046479994732757E-2</v>
      </c>
      <c r="J2" s="2">
        <f t="shared" si="0"/>
        <v>4.7046479994732757E-2</v>
      </c>
      <c r="K2" s="2">
        <f t="shared" si="0"/>
        <v>4.7046479994732757E-2</v>
      </c>
      <c r="L2" s="2">
        <f t="shared" si="0"/>
        <v>4.7046479994732757E-2</v>
      </c>
      <c r="M2" s="2">
        <f t="shared" si="0"/>
        <v>4.7046479994732757E-2</v>
      </c>
      <c r="N2" s="2">
        <f t="shared" si="0"/>
        <v>4.7046479994732757E-2</v>
      </c>
      <c r="O2" s="2">
        <f t="shared" si="0"/>
        <v>4.7046479994732757E-2</v>
      </c>
      <c r="P2" s="2">
        <f t="shared" si="0"/>
        <v>4.7046479994732757E-2</v>
      </c>
      <c r="Q2" s="2">
        <f t="shared" si="0"/>
        <v>4.7046479994732757E-2</v>
      </c>
      <c r="R2" s="2">
        <f t="shared" si="0"/>
        <v>4.7046479994732757E-2</v>
      </c>
      <c r="S2" s="2">
        <f t="shared" si="0"/>
        <v>4.7046479994732757E-2</v>
      </c>
      <c r="T2" s="2">
        <f t="shared" si="0"/>
        <v>4.7046479994732757E-2</v>
      </c>
      <c r="U2" s="2">
        <f t="shared" si="0"/>
        <v>4.7046479994732757E-2</v>
      </c>
      <c r="V2" s="2">
        <f t="shared" si="0"/>
        <v>4.7046479994732757E-2</v>
      </c>
      <c r="W2" s="2">
        <f t="shared" si="0"/>
        <v>4.7046479994732757E-2</v>
      </c>
      <c r="X2" s="2">
        <f t="shared" si="0"/>
        <v>4.7046479994732757E-2</v>
      </c>
      <c r="Y2" s="2">
        <f t="shared" si="0"/>
        <v>4.7046479994732757E-2</v>
      </c>
      <c r="Z2" s="2">
        <f t="shared" si="0"/>
        <v>4.7046479994732757E-2</v>
      </c>
      <c r="AA2" s="2">
        <f t="shared" si="0"/>
        <v>4.7046479994732757E-2</v>
      </c>
      <c r="AB2" s="2">
        <f t="shared" si="0"/>
        <v>4.7046479994732757E-2</v>
      </c>
      <c r="AC2" s="2">
        <f t="shared" si="0"/>
        <v>4.7046479994732757E-2</v>
      </c>
      <c r="AD2" s="2">
        <f t="shared" si="0"/>
        <v>4.7046479994732757E-2</v>
      </c>
      <c r="AE2" s="2">
        <f t="shared" si="0"/>
        <v>4.7046479994732757E-2</v>
      </c>
      <c r="AF2" s="2">
        <f t="shared" si="0"/>
        <v>4.7046479994732757E-2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2024-01-30T00:53:38Z</dcterms:modified>
</cp:coreProperties>
</file>