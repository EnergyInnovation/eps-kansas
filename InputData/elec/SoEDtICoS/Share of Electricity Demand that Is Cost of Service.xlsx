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KS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296</v>
      </c>
      <c r="C4" t="inlineStr">
        <is>
          <t>Alfalfa Electric Coop,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KS</t>
        </is>
      </c>
      <c r="H4" t="inlineStr">
        <is>
          <t>Cooperative</t>
        </is>
      </c>
      <c r="I4" t="inlineStr">
        <is>
          <t>SWPP</t>
        </is>
      </c>
      <c r="J4" t="n">
        <v>373</v>
      </c>
      <c r="K4" t="n">
        <v>3583</v>
      </c>
      <c r="L4" t="n">
        <v>205</v>
      </c>
      <c r="M4" t="n">
        <v>744</v>
      </c>
      <c r="N4" t="n">
        <v>4593</v>
      </c>
      <c r="O4" t="n">
        <v>670</v>
      </c>
      <c r="P4" t="n">
        <v>1121</v>
      </c>
      <c r="Q4" t="n">
        <v>12621</v>
      </c>
      <c r="R4" t="n">
        <v>55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2238</v>
      </c>
      <c r="W4" t="n">
        <v>20797</v>
      </c>
      <c r="X4" t="n">
        <v>930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2774</v>
      </c>
      <c r="C5" t="inlineStr">
        <is>
          <t>CMS Electric Coop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KS</t>
        </is>
      </c>
      <c r="H5" t="inlineStr">
        <is>
          <t>Cooperative</t>
        </is>
      </c>
      <c r="I5" t="inlineStr">
        <is>
          <t>SWPP</t>
        </is>
      </c>
      <c r="J5" t="n">
        <v>4896.8</v>
      </c>
      <c r="K5" t="n">
        <v>26157</v>
      </c>
      <c r="L5" t="n">
        <v>3198</v>
      </c>
      <c r="M5" t="n">
        <v>12966.9</v>
      </c>
      <c r="N5" t="n">
        <v>92459</v>
      </c>
      <c r="O5" t="n">
        <v>2601</v>
      </c>
      <c r="P5" t="n">
        <v>7062.2</v>
      </c>
      <c r="Q5" t="n">
        <v>84042</v>
      </c>
      <c r="R5" t="n">
        <v>86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24925.9</v>
      </c>
      <c r="W5" t="n">
        <v>202658</v>
      </c>
      <c r="X5" t="n">
        <v>5885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3355</v>
      </c>
      <c r="C6" t="inlineStr">
        <is>
          <t>City of Chanute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KS</t>
        </is>
      </c>
      <c r="H6" t="inlineStr">
        <is>
          <t>Municipal</t>
        </is>
      </c>
      <c r="I6" t="inlineStr">
        <is>
          <t>SWPP</t>
        </is>
      </c>
      <c r="J6" t="n">
        <v>5622</v>
      </c>
      <c r="K6" t="n">
        <v>43631</v>
      </c>
      <c r="L6" t="n">
        <v>4556</v>
      </c>
      <c r="M6" t="n">
        <v>4958</v>
      </c>
      <c r="N6" t="n">
        <v>41735</v>
      </c>
      <c r="O6" t="n">
        <v>917</v>
      </c>
      <c r="P6" t="n">
        <v>14515</v>
      </c>
      <c r="Q6" t="n">
        <v>193791</v>
      </c>
      <c r="R6" t="n">
        <v>94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25095</v>
      </c>
      <c r="W6" t="n">
        <v>279157</v>
      </c>
      <c r="X6" t="n">
        <v>5567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3892</v>
      </c>
      <c r="C7" t="inlineStr">
        <is>
          <t>City of Coffeyville - (KS)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KS</t>
        </is>
      </c>
      <c r="H7" t="inlineStr">
        <is>
          <t>Municipal</t>
        </is>
      </c>
      <c r="I7" t="inlineStr">
        <is>
          <t>SWPP</t>
        </is>
      </c>
      <c r="J7" t="n">
        <v>5667.5</v>
      </c>
      <c r="K7" t="n">
        <v>49147</v>
      </c>
      <c r="L7" t="n">
        <v>4723</v>
      </c>
      <c r="M7" t="n">
        <v>7049.7</v>
      </c>
      <c r="N7" t="n">
        <v>60638</v>
      </c>
      <c r="O7" t="n">
        <v>1006</v>
      </c>
      <c r="P7" t="n">
        <v>41416.2</v>
      </c>
      <c r="Q7" t="n">
        <v>687658</v>
      </c>
      <c r="R7" t="n">
        <v>11</v>
      </c>
      <c r="S7" t="n">
        <v>0</v>
      </c>
      <c r="T7" t="n">
        <v>0</v>
      </c>
      <c r="U7" t="n">
        <v>0</v>
      </c>
      <c r="V7" t="n">
        <v>54133.4</v>
      </c>
      <c r="W7" t="n">
        <v>797443</v>
      </c>
      <c r="X7" t="n">
        <v>5740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5860</v>
      </c>
      <c r="C8" t="inlineStr">
        <is>
          <t>Empire District Electric Co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KS</t>
        </is>
      </c>
      <c r="H8" t="inlineStr">
        <is>
          <t>Investor Owned</t>
        </is>
      </c>
      <c r="I8" t="inlineStr">
        <is>
          <t>SWPP</t>
        </is>
      </c>
      <c r="J8" t="n">
        <v>13777.4</v>
      </c>
      <c r="K8" t="n">
        <v>103256</v>
      </c>
      <c r="L8" t="n">
        <v>8412</v>
      </c>
      <c r="M8" t="n">
        <v>8153.1</v>
      </c>
      <c r="N8" t="n">
        <v>54727</v>
      </c>
      <c r="O8" t="n">
        <v>1456</v>
      </c>
      <c r="P8" t="n">
        <v>6039.6</v>
      </c>
      <c r="Q8" t="n">
        <v>63055</v>
      </c>
      <c r="R8" t="n">
        <v>47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27970.1</v>
      </c>
      <c r="W8" t="n">
        <v>221038</v>
      </c>
      <c r="X8" t="n">
        <v>9915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6941</v>
      </c>
      <c r="C9" t="inlineStr">
        <is>
          <t>City of Garden City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KS</t>
        </is>
      </c>
      <c r="H9" t="inlineStr">
        <is>
          <t>Municipal</t>
        </is>
      </c>
      <c r="I9" t="inlineStr">
        <is>
          <t>SWPP</t>
        </is>
      </c>
      <c r="J9" t="n">
        <v>13693</v>
      </c>
      <c r="K9" t="n">
        <v>86418</v>
      </c>
      <c r="L9" t="n">
        <v>10449</v>
      </c>
      <c r="M9" t="n">
        <v>9583</v>
      </c>
      <c r="N9" t="n">
        <v>93217</v>
      </c>
      <c r="O9" t="n">
        <v>1064</v>
      </c>
      <c r="P9" t="n">
        <v>13072</v>
      </c>
      <c r="Q9" t="n">
        <v>134771</v>
      </c>
      <c r="R9" t="n">
        <v>461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36348</v>
      </c>
      <c r="W9" t="n">
        <v>314406</v>
      </c>
      <c r="X9" t="n">
        <v>11974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9996</v>
      </c>
      <c r="C10" t="inlineStr">
        <is>
          <t>City of Kansas City - (KS)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KS</t>
        </is>
      </c>
      <c r="H10" t="inlineStr">
        <is>
          <t>Municipal</t>
        </is>
      </c>
      <c r="I10" t="inlineStr">
        <is>
          <t>SWPP</t>
        </is>
      </c>
      <c r="J10" t="n">
        <v>87905</v>
      </c>
      <c r="K10" t="n">
        <v>572473</v>
      </c>
      <c r="L10" t="n">
        <v>61475</v>
      </c>
      <c r="M10" t="n">
        <v>129362</v>
      </c>
      <c r="N10" t="n">
        <v>1073013</v>
      </c>
      <c r="O10" t="n">
        <v>7082</v>
      </c>
      <c r="P10" t="n">
        <v>49823</v>
      </c>
      <c r="Q10" t="n">
        <v>507713</v>
      </c>
      <c r="R10" t="n">
        <v>80</v>
      </c>
      <c r="S10" t="n">
        <v>0</v>
      </c>
      <c r="T10" t="n">
        <v>0</v>
      </c>
      <c r="U10" t="n">
        <v>0</v>
      </c>
      <c r="V10" t="n">
        <v>267090</v>
      </c>
      <c r="W10" t="n">
        <v>2153199</v>
      </c>
      <c r="X10" t="n">
        <v>68637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10000</v>
      </c>
      <c r="C11" t="inlineStr">
        <is>
          <t>Evergy Metro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KS</t>
        </is>
      </c>
      <c r="H11" t="inlineStr">
        <is>
          <t>Investor Owned</t>
        </is>
      </c>
      <c r="I11" t="inlineStr">
        <is>
          <t>SWPP</t>
        </is>
      </c>
      <c r="J11" t="n">
        <v>374727.3</v>
      </c>
      <c r="K11" t="n">
        <v>2854073</v>
      </c>
      <c r="L11" t="n">
        <v>244555</v>
      </c>
      <c r="M11" t="n">
        <v>344816.3</v>
      </c>
      <c r="N11" t="n">
        <v>3221176</v>
      </c>
      <c r="O11" t="n">
        <v>31292</v>
      </c>
      <c r="P11" t="n">
        <v>23731.6</v>
      </c>
      <c r="Q11" t="n">
        <v>241033</v>
      </c>
      <c r="R11" t="n">
        <v>825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743275.2</v>
      </c>
      <c r="W11" t="n">
        <v>6316282</v>
      </c>
      <c r="X11" t="n">
        <v>276672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10005</v>
      </c>
      <c r="C12" t="inlineStr">
        <is>
          <t>Evergy Kansas South,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KS</t>
        </is>
      </c>
      <c r="H12" t="inlineStr">
        <is>
          <t>Investor Owned</t>
        </is>
      </c>
      <c r="I12" t="inlineStr">
        <is>
          <t>SWPP</t>
        </is>
      </c>
      <c r="J12" t="n">
        <v>453478.9</v>
      </c>
      <c r="K12" t="n">
        <v>3181627</v>
      </c>
      <c r="L12" t="n">
        <v>302508</v>
      </c>
      <c r="M12" t="n">
        <v>354433.4</v>
      </c>
      <c r="N12" t="n">
        <v>3150612</v>
      </c>
      <c r="O12" t="n">
        <v>40867</v>
      </c>
      <c r="P12" t="n">
        <v>260844.9</v>
      </c>
      <c r="Q12" t="n">
        <v>3416549</v>
      </c>
      <c r="R12" t="n">
        <v>3119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1068757.2</v>
      </c>
      <c r="W12" t="n">
        <v>9748788</v>
      </c>
      <c r="X12" t="n">
        <v>346494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10019</v>
      </c>
      <c r="C13" t="inlineStr">
        <is>
          <t>FreeState Electric Coop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KS</t>
        </is>
      </c>
      <c r="H13" t="inlineStr">
        <is>
          <t>Cooperative</t>
        </is>
      </c>
      <c r="I13" t="inlineStr">
        <is>
          <t>SWPP</t>
        </is>
      </c>
      <c r="J13" t="n">
        <v>36491</v>
      </c>
      <c r="K13" t="n">
        <v>222322</v>
      </c>
      <c r="L13" t="n">
        <v>17514</v>
      </c>
      <c r="M13" t="n">
        <v>5600</v>
      </c>
      <c r="N13" t="n">
        <v>37159</v>
      </c>
      <c r="O13" t="n">
        <v>1467</v>
      </c>
      <c r="P13" t="n">
        <v>2040</v>
      </c>
      <c r="Q13" t="n">
        <v>22544</v>
      </c>
      <c r="R13" t="n">
        <v>11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44131</v>
      </c>
      <c r="W13" t="n">
        <v>282025</v>
      </c>
      <c r="X13" t="n">
        <v>18992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12208</v>
      </c>
      <c r="C14" t="inlineStr">
        <is>
          <t>City of McPherson - (KS)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KS</t>
        </is>
      </c>
      <c r="H14" t="inlineStr">
        <is>
          <t>Municipal</t>
        </is>
      </c>
      <c r="I14" t="inlineStr">
        <is>
          <t>SWPP</t>
        </is>
      </c>
      <c r="J14" t="n">
        <v>8264.700000000001</v>
      </c>
      <c r="K14" t="n">
        <v>91983</v>
      </c>
      <c r="L14" t="n">
        <v>7432</v>
      </c>
      <c r="M14" t="n">
        <v>8711</v>
      </c>
      <c r="N14" t="n">
        <v>100638</v>
      </c>
      <c r="O14" t="n">
        <v>1535</v>
      </c>
      <c r="P14" t="n">
        <v>49126</v>
      </c>
      <c r="Q14" t="n">
        <v>953740</v>
      </c>
      <c r="R14" t="n">
        <v>21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66101.7</v>
      </c>
      <c r="W14" t="n">
        <v>1146361</v>
      </c>
      <c r="X14" t="n">
        <v>8988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12524</v>
      </c>
      <c r="C15" t="inlineStr">
        <is>
          <t>Midwest Energy Inc - (KS)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KS</t>
        </is>
      </c>
      <c r="H15" t="inlineStr">
        <is>
          <t>Cooperative</t>
        </is>
      </c>
      <c r="I15" t="inlineStr">
        <is>
          <t>SWPP</t>
        </is>
      </c>
      <c r="J15" t="n">
        <v>36288.3</v>
      </c>
      <c r="K15" t="n">
        <v>317121</v>
      </c>
      <c r="L15" t="n">
        <v>29832</v>
      </c>
      <c r="M15" t="n">
        <v>40537.7</v>
      </c>
      <c r="N15" t="n">
        <v>379076</v>
      </c>
      <c r="O15" t="n">
        <v>13429</v>
      </c>
      <c r="P15" t="n">
        <v>65123.9</v>
      </c>
      <c r="Q15" t="n">
        <v>837215</v>
      </c>
      <c r="R15" t="n">
        <v>7043</v>
      </c>
      <c r="S15" t="n">
        <v>0</v>
      </c>
      <c r="T15" t="n">
        <v>0</v>
      </c>
      <c r="U15" t="n">
        <v>0</v>
      </c>
      <c r="V15" t="n">
        <v>141949.9</v>
      </c>
      <c r="W15" t="n">
        <v>1533412</v>
      </c>
      <c r="X15" t="n">
        <v>50304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13799</v>
      </c>
      <c r="C16" t="inlineStr">
        <is>
          <t>Prairie Land Electric Coop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KS</t>
        </is>
      </c>
      <c r="H16" t="inlineStr">
        <is>
          <t>Cooperative</t>
        </is>
      </c>
      <c r="I16" t="inlineStr">
        <is>
          <t>SWPP</t>
        </is>
      </c>
      <c r="J16" t="n">
        <v>18782.2</v>
      </c>
      <c r="K16" t="n">
        <v>131438</v>
      </c>
      <c r="L16" t="n">
        <v>13273</v>
      </c>
      <c r="M16" t="n">
        <v>20682.2</v>
      </c>
      <c r="N16" t="n">
        <v>153986</v>
      </c>
      <c r="O16" t="n">
        <v>8922</v>
      </c>
      <c r="P16" t="n">
        <v>20861.6</v>
      </c>
      <c r="Q16" t="n">
        <v>273417</v>
      </c>
      <c r="R16" t="n">
        <v>2346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60326</v>
      </c>
      <c r="W16" t="n">
        <v>558841</v>
      </c>
      <c r="X16" t="n">
        <v>24541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15073</v>
      </c>
      <c r="C17" t="inlineStr">
        <is>
          <t>Pioneer Electric Coop, Inc - (KS)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KS</t>
        </is>
      </c>
      <c r="H17" t="inlineStr">
        <is>
          <t>Cooperative</t>
        </is>
      </c>
      <c r="I17" t="inlineStr">
        <is>
          <t>SWPP</t>
        </is>
      </c>
      <c r="J17" t="n">
        <v>6967</v>
      </c>
      <c r="K17" t="n">
        <v>62283</v>
      </c>
      <c r="L17" t="n">
        <v>5031</v>
      </c>
      <c r="M17" t="n">
        <v>29398</v>
      </c>
      <c r="N17" t="n">
        <v>328555</v>
      </c>
      <c r="O17" t="n">
        <v>10694</v>
      </c>
      <c r="P17" t="n">
        <v>34343</v>
      </c>
      <c r="Q17" t="n">
        <v>577679</v>
      </c>
      <c r="R17" t="n">
        <v>625</v>
      </c>
      <c r="S17" t="n">
        <v>0</v>
      </c>
      <c r="T17" t="n">
        <v>0</v>
      </c>
      <c r="U17" t="n">
        <v>0</v>
      </c>
      <c r="V17" t="n">
        <v>70708</v>
      </c>
      <c r="W17" t="n">
        <v>968517</v>
      </c>
      <c r="X17" t="n">
        <v>16350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19160</v>
      </c>
      <c r="C18" t="inlineStr">
        <is>
          <t>Tri-County Electric Coop, Inc (OK)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KS</t>
        </is>
      </c>
      <c r="H18" t="inlineStr">
        <is>
          <t>Cooperative</t>
        </is>
      </c>
      <c r="I18" t="inlineStr">
        <is>
          <t>SWPP</t>
        </is>
      </c>
      <c r="J18" t="n">
        <v>1354</v>
      </c>
      <c r="K18" t="n">
        <v>8342</v>
      </c>
      <c r="L18" t="n">
        <v>1079</v>
      </c>
      <c r="M18" t="n">
        <v>1411</v>
      </c>
      <c r="N18" t="n">
        <v>8539</v>
      </c>
      <c r="O18" t="n">
        <v>496</v>
      </c>
      <c r="P18" t="n">
        <v>68</v>
      </c>
      <c r="Q18" t="n">
        <v>383</v>
      </c>
      <c r="R18" t="n">
        <v>33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2833</v>
      </c>
      <c r="W18" t="n">
        <v>17264</v>
      </c>
      <c r="X18" t="n">
        <v>1608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19820</v>
      </c>
      <c r="C19" t="inlineStr">
        <is>
          <t>Victory Electric Coop Assn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KS</t>
        </is>
      </c>
      <c r="H19" t="inlineStr">
        <is>
          <t>Cooperative</t>
        </is>
      </c>
      <c r="I19" t="inlineStr">
        <is>
          <t>SWPP</t>
        </is>
      </c>
      <c r="J19" t="n">
        <v>17211</v>
      </c>
      <c r="K19" t="n">
        <v>145060</v>
      </c>
      <c r="L19" t="n">
        <v>14243</v>
      </c>
      <c r="M19" t="n">
        <v>21856</v>
      </c>
      <c r="N19" t="n">
        <v>216669</v>
      </c>
      <c r="O19" t="n">
        <v>3861</v>
      </c>
      <c r="P19" t="n">
        <v>32183</v>
      </c>
      <c r="Q19" t="n">
        <v>467106</v>
      </c>
      <c r="R19" t="n">
        <v>2328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71250</v>
      </c>
      <c r="W19" t="n">
        <v>828835</v>
      </c>
      <c r="X19" t="n">
        <v>20432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20476</v>
      </c>
      <c r="C20" t="inlineStr">
        <is>
          <t>Western Coop Electric Assn Inc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KS</t>
        </is>
      </c>
      <c r="H20" t="inlineStr">
        <is>
          <t>Cooperative</t>
        </is>
      </c>
      <c r="I20" t="inlineStr">
        <is>
          <t>SWPP</t>
        </is>
      </c>
      <c r="J20" t="n">
        <v>8498.299999999999</v>
      </c>
      <c r="K20" t="n">
        <v>59961</v>
      </c>
      <c r="L20" t="n">
        <v>5799</v>
      </c>
      <c r="M20" t="n">
        <v>24777.1</v>
      </c>
      <c r="N20" t="n">
        <v>269367</v>
      </c>
      <c r="O20" t="n">
        <v>5797</v>
      </c>
      <c r="P20" t="n">
        <v>1541</v>
      </c>
      <c r="Q20" t="n">
        <v>11558</v>
      </c>
      <c r="R20" t="n">
        <v>480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34816.4</v>
      </c>
      <c r="W20" t="n">
        <v>340886</v>
      </c>
      <c r="X20" t="n">
        <v>12076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20510</v>
      </c>
      <c r="C21" t="inlineStr">
        <is>
          <t>Wheatland Electric Coop, Inc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KS</t>
        </is>
      </c>
      <c r="H21" t="inlineStr">
        <is>
          <t>Cooperative</t>
        </is>
      </c>
      <c r="I21" t="inlineStr">
        <is>
          <t>SWPP</t>
        </is>
      </c>
      <c r="J21" t="n">
        <v>29574</v>
      </c>
      <c r="K21" t="n">
        <v>211767</v>
      </c>
      <c r="L21" t="n">
        <v>20118</v>
      </c>
      <c r="M21" t="n">
        <v>54215</v>
      </c>
      <c r="N21" t="n">
        <v>495614</v>
      </c>
      <c r="O21" t="n">
        <v>10900</v>
      </c>
      <c r="P21" t="n">
        <v>8667</v>
      </c>
      <c r="Q21" t="n">
        <v>80382</v>
      </c>
      <c r="R21" t="n">
        <v>1291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92456</v>
      </c>
      <c r="W21" t="n">
        <v>787763</v>
      </c>
      <c r="X21" t="n">
        <v>32309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20813</v>
      </c>
      <c r="C22" t="inlineStr">
        <is>
          <t>City of Winfield - (KS)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KS</t>
        </is>
      </c>
      <c r="H22" t="inlineStr">
        <is>
          <t>Municipal</t>
        </is>
      </c>
      <c r="I22" t="inlineStr">
        <is>
          <t>SWPP</t>
        </is>
      </c>
      <c r="J22" t="n">
        <v>8510</v>
      </c>
      <c r="K22" t="n">
        <v>61557</v>
      </c>
      <c r="L22" t="n">
        <v>6284</v>
      </c>
      <c r="M22" t="n">
        <v>8152</v>
      </c>
      <c r="N22" t="n">
        <v>70540</v>
      </c>
      <c r="O22" t="n">
        <v>1244</v>
      </c>
      <c r="P22" t="n">
        <v>6348</v>
      </c>
      <c r="Q22" t="n">
        <v>86312</v>
      </c>
      <c r="R22" t="n">
        <v>23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23010</v>
      </c>
      <c r="W22" t="n">
        <v>218409</v>
      </c>
      <c r="X22" t="n">
        <v>7551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22500</v>
      </c>
      <c r="C23" t="inlineStr">
        <is>
          <t>Evergy Kansas Central,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KS</t>
        </is>
      </c>
      <c r="H23" t="inlineStr">
        <is>
          <t>Investor Owned</t>
        </is>
      </c>
      <c r="I23" t="inlineStr">
        <is>
          <t>SWPP</t>
        </is>
      </c>
      <c r="J23" t="n">
        <v>495679</v>
      </c>
      <c r="K23" t="n">
        <v>3468990</v>
      </c>
      <c r="L23" t="n">
        <v>341806</v>
      </c>
      <c r="M23" t="n">
        <v>470946.5</v>
      </c>
      <c r="N23" t="n">
        <v>4275484</v>
      </c>
      <c r="O23" t="n">
        <v>54306</v>
      </c>
      <c r="P23" t="n">
        <v>170020.9</v>
      </c>
      <c r="Q23" t="n">
        <v>1869300</v>
      </c>
      <c r="R23" t="n">
        <v>1114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1136646.4</v>
      </c>
      <c r="W23" t="n">
        <v>9613774</v>
      </c>
      <c r="X23" t="n">
        <v>397226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27000</v>
      </c>
      <c r="C24" t="inlineStr">
        <is>
          <t>WAPA-- Western Area Power Administration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KS</t>
        </is>
      </c>
      <c r="H24" t="inlineStr">
        <is>
          <t>Federal</t>
        </is>
      </c>
      <c r="I24" t="inlineStr">
        <is>
          <t>WACM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</v>
      </c>
      <c r="Q24" t="n">
        <v>430</v>
      </c>
      <c r="R24" t="n">
        <v>1</v>
      </c>
      <c r="S24" t="n">
        <v>0</v>
      </c>
      <c r="T24" t="n">
        <v>0</v>
      </c>
      <c r="U24" t="n">
        <v>0</v>
      </c>
      <c r="V24" t="n">
        <v>1.1</v>
      </c>
      <c r="W24" t="n">
        <v>430</v>
      </c>
      <c r="X24" t="n">
        <v>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59579</v>
      </c>
      <c r="C25" t="inlineStr">
        <is>
          <t>Sunnova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KS</t>
        </is>
      </c>
      <c r="H25" t="inlineStr">
        <is>
          <t>Behind the Meter</t>
        </is>
      </c>
      <c r="I25" t="inlineStr">
        <is>
          <t>SWPP</t>
        </is>
      </c>
      <c r="J25" t="n">
        <v>0</v>
      </c>
      <c r="K25" t="n">
        <v>0</v>
      </c>
      <c r="L25" t="n">
        <v>0</v>
      </c>
      <c r="M25" t="inlineStr">
        <is>
          <t>.</t>
        </is>
      </c>
      <c r="N25" t="inlineStr">
        <is>
          <t>.</t>
        </is>
      </c>
      <c r="O25" t="inlineStr">
        <is>
          <t>.</t>
        </is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0</v>
      </c>
      <c r="W25" t="n">
        <v>0</v>
      </c>
      <c r="X25" t="n">
        <v>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60839</v>
      </c>
      <c r="C26" t="inlineStr">
        <is>
          <t>Southern Pioneer Electric Company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KS</t>
        </is>
      </c>
      <c r="H26" t="inlineStr">
        <is>
          <t>Cooperative</t>
        </is>
      </c>
      <c r="I26" t="inlineStr">
        <is>
          <t>SWPP</t>
        </is>
      </c>
      <c r="J26" t="n">
        <v>18669</v>
      </c>
      <c r="K26" t="n">
        <v>117680</v>
      </c>
      <c r="L26" t="n">
        <v>12602</v>
      </c>
      <c r="M26" t="n">
        <v>21270</v>
      </c>
      <c r="N26" t="n">
        <v>149572</v>
      </c>
      <c r="O26" t="n">
        <v>4435</v>
      </c>
      <c r="P26" t="n">
        <v>27687</v>
      </c>
      <c r="Q26" t="n">
        <v>484602</v>
      </c>
      <c r="R26" t="n">
        <v>68</v>
      </c>
      <c r="S26" t="n">
        <v>0</v>
      </c>
      <c r="T26" t="n">
        <v>0</v>
      </c>
      <c r="U26" t="n">
        <v>0</v>
      </c>
      <c r="V26" t="n">
        <v>67626</v>
      </c>
      <c r="W26" t="n">
        <v>751854</v>
      </c>
      <c r="X26" t="n">
        <v>17105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66026</v>
      </c>
      <c r="C27" t="inlineStr">
        <is>
          <t>Palmetto Solar, LLC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KS</t>
        </is>
      </c>
      <c r="H27" t="inlineStr">
        <is>
          <t>Behind the Meter</t>
        </is>
      </c>
      <c r="I27" t="inlineStr">
        <is>
          <t>SWPP</t>
        </is>
      </c>
      <c r="J27" t="n">
        <v>36.2</v>
      </c>
      <c r="K27" t="n">
        <v>209</v>
      </c>
      <c r="L27" t="n">
        <v>7</v>
      </c>
      <c r="M27" t="inlineStr">
        <is>
          <t>.</t>
        </is>
      </c>
      <c r="N27" t="inlineStr">
        <is>
          <t>.</t>
        </is>
      </c>
      <c r="O27" t="inlineStr">
        <is>
          <t>.</t>
        </is>
      </c>
      <c r="P27" t="inlineStr">
        <is>
          <t>.</t>
        </is>
      </c>
      <c r="Q27" t="inlineStr">
        <is>
          <t>.</t>
        </is>
      </c>
      <c r="R27" t="inlineStr">
        <is>
          <t>.</t>
        </is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36.2</v>
      </c>
      <c r="W27" t="n">
        <v>209</v>
      </c>
      <c r="X27" t="n">
        <v>7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99999</v>
      </c>
      <c r="C28" t="inlineStr">
        <is>
          <t>Adjustment 2024</t>
        </is>
      </c>
      <c r="D28" t="inlineStr">
        <is>
          <t>A</t>
        </is>
      </c>
      <c r="E28" t="inlineStr">
        <is>
          <t>Bundled</t>
        </is>
      </c>
      <c r="F28" t="inlineStr">
        <is>
          <t>I</t>
        </is>
      </c>
      <c r="G28" t="inlineStr">
        <is>
          <t>KS</t>
        </is>
      </c>
      <c r="H28" t="inlineStr"/>
      <c r="I28" t="inlineStr">
        <is>
          <t>MISO</t>
        </is>
      </c>
      <c r="J28" t="n">
        <v>183</v>
      </c>
      <c r="K28" t="n">
        <v>1238</v>
      </c>
      <c r="L28" t="n">
        <v>145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</v>
      </c>
      <c r="W28" t="n">
        <v>1238</v>
      </c>
      <c r="X28" t="n">
        <v>145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99999</v>
      </c>
      <c r="C29" t="inlineStr">
        <is>
          <t>Adjustment 2024</t>
        </is>
      </c>
      <c r="D29" t="inlineStr">
        <is>
          <t>A</t>
        </is>
      </c>
      <c r="E29" t="inlineStr">
        <is>
          <t>Bundled</t>
        </is>
      </c>
      <c r="F29" t="inlineStr">
        <is>
          <t>I</t>
        </is>
      </c>
      <c r="G29" t="inlineStr">
        <is>
          <t>KS</t>
        </is>
      </c>
      <c r="H29" t="inlineStr"/>
      <c r="I29" t="inlineStr">
        <is>
          <t>SWPP</t>
        </is>
      </c>
      <c r="J29" t="n">
        <v>311635.1</v>
      </c>
      <c r="K29" t="n">
        <v>2019673</v>
      </c>
      <c r="L29" t="n">
        <v>201849</v>
      </c>
      <c r="M29" t="n">
        <v>187630.8</v>
      </c>
      <c r="N29" t="n">
        <v>1513351</v>
      </c>
      <c r="O29" t="n">
        <v>41128</v>
      </c>
      <c r="P29" t="n">
        <v>63306.2</v>
      </c>
      <c r="Q29" t="n">
        <v>621600</v>
      </c>
      <c r="R29" t="n">
        <v>3801</v>
      </c>
      <c r="S29" t="n">
        <v>0</v>
      </c>
      <c r="T29" t="n">
        <v>0</v>
      </c>
      <c r="U29" t="n">
        <v>0</v>
      </c>
      <c r="V29" t="n">
        <v>562572.1</v>
      </c>
      <c r="W29" t="n">
        <v>4154624</v>
      </c>
      <c r="X29" t="n">
        <v>246778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KS</t>
        </is>
      </c>
      <c r="B2">
        <f>SUMIFS('EIA-861 Sales 2024'!$Y$4:$Y$29,'EIA-861 Sales 2024'!$Z$4:$Z$29,"cost_service")</f>
        <v/>
      </c>
      <c r="C2">
        <f>SUMIFS('EIA-861 Sales 2024'!$Y$4:$Y$29,'EIA-861 Sales 2024'!$Z$4:$Z$29,"procurement")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