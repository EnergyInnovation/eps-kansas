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KS\trans\BCDTRtSY\"/>
    </mc:Choice>
  </mc:AlternateContent>
  <xr:revisionPtr revIDLastSave="0" documentId="8_{0B02B045-B203-4462-9DBC-28E395DD4EB1}"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<sst xmlns="http://schemas.openxmlformats.org/spreadsheetml/2006/main" count="6428" uniqueCount="3038">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</sst>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2901</v>
      </c>
      <c r="C1" s="77">
        <v>46248</v>
      </c>
      <c r="H1" t="s">
        <v>2981</v>
      </c>
      <c r="I1" t="s">
        <v>2982</v>
      </c>
    </row>
    <row r="2" spans="1:9">
      <c r="B2" t="str">
        <f>VLOOKUP(B1,H2:I52,2)</f>
        <v>KS</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Kansas</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1.0042989301125793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1.0100144503071726</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1.0126559042420793</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1.0148930619508394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1.0163975592166252</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1.0155920051964287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1.0149490983537304</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1.0129363428459455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1.0115187747668171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1.0092797339549262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1.0077292054667932</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1.0066037278607265</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1.0055351772038266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1.0038893338939514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1.0024424945156138</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0.99990524778584677</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0.99725377365035262</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0.99428535087451952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0.99153775864528559</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0.98858715055457169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0.98539086380018381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0.98146488570464208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0.97767002534970271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0.97367091333288147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0.97005286590209405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1.01608626591236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1.026348568410961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1.0331362734632739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1.0387037437277196</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1.0428661615890205</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1.0436212677513519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1.0439551035141303</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1.0447580283885909</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1.0450968124725313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1.0457463478383251</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1.0456332191964355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1.0456447678661025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1.0451729089404223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1.0446810417554766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1.044139462875086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1.0425711394662713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1.0409558553174134</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1.0390235098399949</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1.0369785073557947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1.0348289433228499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1.0323204456378672</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1.0297102088017247</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1.0267522929695521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1.0236383733366392</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1.0204664476388492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1.0294796868921487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1.0463264061585693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1.0524020187775867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1.0632586833397011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1.0781920870627841</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1.0902837096268239</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1.106605330898923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1.1246832358630277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1.1449532539359069</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1.1675862404716961</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1.1833348868644533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1.1990617876680147</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1.2144551849422827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1.2288041860181307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1.2434995005039244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1.256429473294844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1.2702984627213569</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1.285326292749212</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1.3001659697931693</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1.3150208032260686</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1.3288108254693063</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1.3406545714850104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1.3525763519800758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1.3634168035441383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1.374627798463985</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1.061781662553912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1.1070488852794991</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1.1407154014600067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1.1695065679215824</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1.193632643141014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1.2113488879167396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1.2267962151814056</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1.2429925141425264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1.2541507380591188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1.2652071223032122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1.272584213666075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1.2807549689591766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1.2876211531135648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1.2918444733404346</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1.2963815574430693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1.2990709887173297</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1.3017533307792071</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1.3029277223838327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1.3048492395905027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1.3073618216523109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1.3083097808650275</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1.3099149650543251</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1.3093376414865308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1.30836290590264</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1.3070949722480563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1.000126682059137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0.99320454351040433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0.98038613695683829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0.97004058774993962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0.96200534128706261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0.95189931198087474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0.94414672885323803</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0.93760870643311967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0.93231686747404707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0.92831412697907378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0.92145265555211819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0.91466584952318275</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0.90775887959414159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0.90082273007058788</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0.89401392224629028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0.88628016617641903</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0.87898923491211811</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0.87201471914015027</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0.86507590411707669</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0.85814191257246109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0.85080500524343117</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0.84290141000982055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0.83490914917570103</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0.82661274139759588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0.81861225872046639</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1.0040637206627332</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1.0103101562250378</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1.0136234966140381</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1.0167294960629347</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1.0188130089108569</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1.019234242195223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1.0197001331797189</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1.0186543820844807</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1.0179619500388712</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1.01638464953606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1.0155978035034403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1.0152505088146879</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1.0148750536212918</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1.0138015005460734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1.0129531541998393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1.0112801992826053</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1.0093517272693011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1.0072025567186462</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1.0053763908557791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1.0034257080292777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1.0010380258694349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0.99796330990905446</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0.99484832509663645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0.99159578016399585</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0.98872650880708923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0.99427919322849023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0.99402900916269987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0.99341977363078338</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0.99398289058684797</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0.99930055047810074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1.0014912537880847</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1.0054558467875279</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1.0081311211377553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1.0127070482665723</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1.0179685822490845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1.0235509764294579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1.0303591828969569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1.0383568755746024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1.0466906304358936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1.0555029549288879</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1.0630260015121404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1.0699187579316298</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1.0742913051676635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1.0783821276060868</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1.0837680532207754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1.0895801980282382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1.0960240316896936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1.1012130111647918</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1.107124055464429</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1.1122831103379149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1.0088967808654923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1.0219965580766208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1.0342020657199424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1.043796930985192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1.0557275805194115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1.0613877696410672</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1.067928896316225</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1.0722802003134724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1.0778534025041191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1.0832709719451981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1.0878789775286899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1.0917836368990221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1.094681976037932</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1.0970116586918812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1.0995054852058406</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1.1014264428852678</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1.102814840507405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1.1032016689012036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1.1038841990467703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1.1063663471702196</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1.1090321349545784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1.1115862454923096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1.1120803171959093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1.11249006398184</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1.1123495659833671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1.0249373155834895</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1.0420595209511991</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1.0527039498178166</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1.0669974271402347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1.0842125362244182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1.0990970034231362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1.116983156072944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1.1362280784039811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1.157124576590411</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1.1797751028557917</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1.1979149358355146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1.2161528013142124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1.2342687117391544</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1.251762930070621</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1.2696014170703327</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1.2861781660735565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1.3034740230005466</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1.321646912510146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1.339771177809906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1.3579837181779775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1.3755368977467846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1.3918063919855634</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1.4082101841160006</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1.4239366230282562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1.4400211528781872</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0.97546934380175698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1.0050606965743725</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0.98264055141669138</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0.97310298240189252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0.97780296374244258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0.94937330439604484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0.95001071144238036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0.95078729089640623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0.94477708576537234</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0.94455976812599773</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0.94350578991272416</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0.94379198610713078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0.94090722903796564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0.93954831370579184</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0.9372413604375488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0.93291089355531431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0.92657251914512695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0.92087279846250203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0.91754648519256654</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0.91366811267073444</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0.91217821939057664</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0.91414303201822933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0.91363241559075203</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0.90764531065759946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0.90230786141776786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0.99031327213001419</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1.0075680547418258</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1.0267800182712621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1.042584860623597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1.0592549024341407</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1.072588179571202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1.087849590141263</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1.1032949548464739</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1.119340194689177</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1.1362622387644239</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1.1491547087944274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1.1587033086226493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1.1681737871825817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1.1764316813478792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1.1847072101494938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1.1922106203819065</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1.2006669192544135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1.2086453016342718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1.2164094199538442</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1.2253880774053738</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1.2344356354447281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1.2435841896815272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1.2519272208543599</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1.2599055944205451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1.2691568858115052</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1.0042989301125793</v>
      </c>
      <c r="E2">
        <f>'BCDTRtSY-state-adjusted'!E5</f>
        <v>1.0100144503071726</v>
      </c>
      <c r="F2">
        <f>'BCDTRtSY-state-adjusted'!F5</f>
        <v>1.0126559042420793</v>
      </c>
      <c r="G2">
        <f>'BCDTRtSY-state-adjusted'!G5</f>
        <v>1.0148930619508394</v>
      </c>
      <c r="H2">
        <f>'BCDTRtSY-state-adjusted'!H5</f>
        <v>1.0163975592166252</v>
      </c>
      <c r="I2">
        <f>'BCDTRtSY-state-adjusted'!I5</f>
        <v>1.0155920051964287</v>
      </c>
      <c r="J2">
        <f>'BCDTRtSY-state-adjusted'!J5</f>
        <v>1.0149490983537304</v>
      </c>
      <c r="K2">
        <f>'BCDTRtSY-state-adjusted'!K5</f>
        <v>1.0129363428459455</v>
      </c>
      <c r="L2">
        <f>'BCDTRtSY-state-adjusted'!L5</f>
        <v>1.0115187747668171</v>
      </c>
      <c r="M2">
        <f>'BCDTRtSY-state-adjusted'!M5</f>
        <v>1.0092797339549262</v>
      </c>
      <c r="N2">
        <f>'BCDTRtSY-state-adjusted'!N5</f>
        <v>1.0077292054667932</v>
      </c>
      <c r="O2">
        <f>'BCDTRtSY-state-adjusted'!O5</f>
        <v>1.0066037278607265</v>
      </c>
      <c r="P2">
        <f>'BCDTRtSY-state-adjusted'!P5</f>
        <v>1.0055351772038266</v>
      </c>
      <c r="Q2">
        <f>'BCDTRtSY-state-adjusted'!Q5</f>
        <v>1.0038893338939514</v>
      </c>
      <c r="R2">
        <f>'BCDTRtSY-state-adjusted'!R5</f>
        <v>1.0024424945156138</v>
      </c>
      <c r="S2">
        <f>'BCDTRtSY-state-adjusted'!S5</f>
        <v>0.99990524778584677</v>
      </c>
      <c r="T2">
        <f>'BCDTRtSY-state-adjusted'!T5</f>
        <v>0.99725377365035262</v>
      </c>
      <c r="U2">
        <f>'BCDTRtSY-state-adjusted'!U5</f>
        <v>0.99428535087451952</v>
      </c>
      <c r="V2">
        <f>'BCDTRtSY-state-adjusted'!V5</f>
        <v>0.99153775864528559</v>
      </c>
      <c r="W2">
        <f>'BCDTRtSY-state-adjusted'!W5</f>
        <v>0.98858715055457169</v>
      </c>
      <c r="X2">
        <f>'BCDTRtSY-state-adjusted'!X5</f>
        <v>0.98539086380018381</v>
      </c>
      <c r="Y2">
        <f>'BCDTRtSY-state-adjusted'!Y5</f>
        <v>0.98146488570464208</v>
      </c>
      <c r="Z2">
        <f>'BCDTRtSY-state-adjusted'!Z5</f>
        <v>0.97767002534970271</v>
      </c>
      <c r="AA2">
        <f>'BCDTRtSY-state-adjusted'!AA5</f>
        <v>0.97367091333288147</v>
      </c>
      <c r="AB2">
        <f>'BCDTRtSY-state-adjusted'!AB5</f>
        <v>0.97005286590209405</v>
      </c>
    </row>
    <row r="3" spans="1:28">
      <c r="A3" t="s">
        <v>118</v>
      </c>
      <c r="B3">
        <f>'BCDTRtSY-state-adjusted'!B6</f>
        <v>1</v>
      </c>
      <c r="C3">
        <f>'BCDTRtSY-state-adjusted'!C6</f>
        <v>1</v>
      </c>
      <c r="D3">
        <f>'BCDTRtSY-state-adjusted'!D6</f>
        <v>1.01608626591236</v>
      </c>
      <c r="E3">
        <f>'BCDTRtSY-state-adjusted'!E6</f>
        <v>1.026348568410961</v>
      </c>
      <c r="F3">
        <f>'BCDTRtSY-state-adjusted'!F6</f>
        <v>1.0331362734632739</v>
      </c>
      <c r="G3">
        <f>'BCDTRtSY-state-adjusted'!G6</f>
        <v>1.0387037437277196</v>
      </c>
      <c r="H3">
        <f>'BCDTRtSY-state-adjusted'!H6</f>
        <v>1.0428661615890205</v>
      </c>
      <c r="I3">
        <f>'BCDTRtSY-state-adjusted'!I6</f>
        <v>1.0436212677513519</v>
      </c>
      <c r="J3">
        <f>'BCDTRtSY-state-adjusted'!J6</f>
        <v>1.0439551035141303</v>
      </c>
      <c r="K3">
        <f>'BCDTRtSY-state-adjusted'!K6</f>
        <v>1.0447580283885909</v>
      </c>
      <c r="L3">
        <f>'BCDTRtSY-state-adjusted'!L6</f>
        <v>1.0450968124725313</v>
      </c>
      <c r="M3">
        <f>'BCDTRtSY-state-adjusted'!M6</f>
        <v>1.0457463478383251</v>
      </c>
      <c r="N3">
        <f>'BCDTRtSY-state-adjusted'!N6</f>
        <v>1.0456332191964355</v>
      </c>
      <c r="O3">
        <f>'BCDTRtSY-state-adjusted'!O6</f>
        <v>1.0456447678661025</v>
      </c>
      <c r="P3">
        <f>'BCDTRtSY-state-adjusted'!P6</f>
        <v>1.0451729089404223</v>
      </c>
      <c r="Q3">
        <f>'BCDTRtSY-state-adjusted'!Q6</f>
        <v>1.0446810417554766</v>
      </c>
      <c r="R3">
        <f>'BCDTRtSY-state-adjusted'!R6</f>
        <v>1.044139462875086</v>
      </c>
      <c r="S3">
        <f>'BCDTRtSY-state-adjusted'!S6</f>
        <v>1.0425711394662713</v>
      </c>
      <c r="T3">
        <f>'BCDTRtSY-state-adjusted'!T6</f>
        <v>1.0409558553174134</v>
      </c>
      <c r="U3">
        <f>'BCDTRtSY-state-adjusted'!U6</f>
        <v>1.0390235098399949</v>
      </c>
      <c r="V3">
        <f>'BCDTRtSY-state-adjusted'!V6</f>
        <v>1.0369785073557947</v>
      </c>
      <c r="W3">
        <f>'BCDTRtSY-state-adjusted'!W6</f>
        <v>1.0348289433228499</v>
      </c>
      <c r="X3">
        <f>'BCDTRtSY-state-adjusted'!X6</f>
        <v>1.0323204456378672</v>
      </c>
      <c r="Y3">
        <f>'BCDTRtSY-state-adjusted'!Y6</f>
        <v>1.0297102088017247</v>
      </c>
      <c r="Z3">
        <f>'BCDTRtSY-state-adjusted'!Z6</f>
        <v>1.0267522929695521</v>
      </c>
      <c r="AA3">
        <f>'BCDTRtSY-state-adjusted'!AA6</f>
        <v>1.0236383733366392</v>
      </c>
      <c r="AB3">
        <f>'BCDTRtSY-state-adjusted'!AB6</f>
        <v>1.0204664476388492</v>
      </c>
    </row>
    <row r="4" spans="1:28">
      <c r="A4" t="s">
        <v>116</v>
      </c>
      <c r="B4">
        <f>'BCDTRtSY-state-adjusted'!B7</f>
        <v>1</v>
      </c>
      <c r="C4">
        <f>'BCDTRtSY-state-adjusted'!C7</f>
        <v>1</v>
      </c>
      <c r="D4">
        <f>'BCDTRtSY-state-adjusted'!D7</f>
        <v>1.0294796868921487</v>
      </c>
      <c r="E4">
        <f>'BCDTRtSY-state-adjusted'!E7</f>
        <v>1.0463264061585693</v>
      </c>
      <c r="F4">
        <f>'BCDTRtSY-state-adjusted'!F7</f>
        <v>1.0524020187775867</v>
      </c>
      <c r="G4">
        <f>'BCDTRtSY-state-adjusted'!G7</f>
        <v>1.0632586833397011</v>
      </c>
      <c r="H4">
        <f>'BCDTRtSY-state-adjusted'!H7</f>
        <v>1.0781920870627841</v>
      </c>
      <c r="I4">
        <f>'BCDTRtSY-state-adjusted'!I7</f>
        <v>1.0902837096268239</v>
      </c>
      <c r="J4">
        <f>'BCDTRtSY-state-adjusted'!J7</f>
        <v>1.106605330898923</v>
      </c>
      <c r="K4">
        <f>'BCDTRtSY-state-adjusted'!K7</f>
        <v>1.1246832358630277</v>
      </c>
      <c r="L4">
        <f>'BCDTRtSY-state-adjusted'!L7</f>
        <v>1.1449532539359069</v>
      </c>
      <c r="M4">
        <f>'BCDTRtSY-state-adjusted'!M7</f>
        <v>1.1675862404716961</v>
      </c>
      <c r="N4">
        <f>'BCDTRtSY-state-adjusted'!N7</f>
        <v>1.1833348868644533</v>
      </c>
      <c r="O4">
        <f>'BCDTRtSY-state-adjusted'!O7</f>
        <v>1.1990617876680147</v>
      </c>
      <c r="P4">
        <f>'BCDTRtSY-state-adjusted'!P7</f>
        <v>1.2144551849422827</v>
      </c>
      <c r="Q4">
        <f>'BCDTRtSY-state-adjusted'!Q7</f>
        <v>1.2288041860181307</v>
      </c>
      <c r="R4">
        <f>'BCDTRtSY-state-adjusted'!R7</f>
        <v>1.2434995005039244</v>
      </c>
      <c r="S4">
        <f>'BCDTRtSY-state-adjusted'!S7</f>
        <v>1.256429473294844</v>
      </c>
      <c r="T4">
        <f>'BCDTRtSY-state-adjusted'!T7</f>
        <v>1.2702984627213569</v>
      </c>
      <c r="U4">
        <f>'BCDTRtSY-state-adjusted'!U7</f>
        <v>1.285326292749212</v>
      </c>
      <c r="V4">
        <f>'BCDTRtSY-state-adjusted'!V7</f>
        <v>1.3001659697931693</v>
      </c>
      <c r="W4">
        <f>'BCDTRtSY-state-adjusted'!W7</f>
        <v>1.3150208032260686</v>
      </c>
      <c r="X4">
        <f>'BCDTRtSY-state-adjusted'!X7</f>
        <v>1.3288108254693063</v>
      </c>
      <c r="Y4">
        <f>'BCDTRtSY-state-adjusted'!Y7</f>
        <v>1.3406545714850104</v>
      </c>
      <c r="Z4">
        <f>'BCDTRtSY-state-adjusted'!Z7</f>
        <v>1.3525763519800758</v>
      </c>
      <c r="AA4">
        <f>'BCDTRtSY-state-adjusted'!AA7</f>
        <v>1.3634168035441383</v>
      </c>
      <c r="AB4">
        <f>'BCDTRtSY-state-adjusted'!AB7</f>
        <v>1.374627798463985</v>
      </c>
    </row>
    <row r="5" spans="1:28">
      <c r="A5" t="s">
        <v>121</v>
      </c>
      <c r="B5">
        <f>'BCDTRtSY-state-adjusted'!B8</f>
        <v>1</v>
      </c>
      <c r="C5">
        <f>'BCDTRtSY-state-adjusted'!C8</f>
        <v>1</v>
      </c>
      <c r="D5">
        <f>'BCDTRtSY-state-adjusted'!D8</f>
        <v>1.061781662553912</v>
      </c>
      <c r="E5">
        <f>'BCDTRtSY-state-adjusted'!E8</f>
        <v>1.1070488852794991</v>
      </c>
      <c r="F5">
        <f>'BCDTRtSY-state-adjusted'!F8</f>
        <v>1.1407154014600067</v>
      </c>
      <c r="G5">
        <f>'BCDTRtSY-state-adjusted'!G8</f>
        <v>1.1695065679215824</v>
      </c>
      <c r="H5">
        <f>'BCDTRtSY-state-adjusted'!H8</f>
        <v>1.193632643141014</v>
      </c>
      <c r="I5">
        <f>'BCDTRtSY-state-adjusted'!I8</f>
        <v>1.2113488879167396</v>
      </c>
      <c r="J5">
        <f>'BCDTRtSY-state-adjusted'!J8</f>
        <v>1.2267962151814056</v>
      </c>
      <c r="K5">
        <f>'BCDTRtSY-state-adjusted'!K8</f>
        <v>1.2429925141425264</v>
      </c>
      <c r="L5">
        <f>'BCDTRtSY-state-adjusted'!L8</f>
        <v>1.2541507380591188</v>
      </c>
      <c r="M5">
        <f>'BCDTRtSY-state-adjusted'!M8</f>
        <v>1.2652071223032122</v>
      </c>
      <c r="N5">
        <f>'BCDTRtSY-state-adjusted'!N8</f>
        <v>1.272584213666075</v>
      </c>
      <c r="O5">
        <f>'BCDTRtSY-state-adjusted'!O8</f>
        <v>1.2807549689591766</v>
      </c>
      <c r="P5">
        <f>'BCDTRtSY-state-adjusted'!P8</f>
        <v>1.2876211531135648</v>
      </c>
      <c r="Q5">
        <f>'BCDTRtSY-state-adjusted'!Q8</f>
        <v>1.2918444733404346</v>
      </c>
      <c r="R5">
        <f>'BCDTRtSY-state-adjusted'!R8</f>
        <v>1.2963815574430693</v>
      </c>
      <c r="S5">
        <f>'BCDTRtSY-state-adjusted'!S8</f>
        <v>1.2990709887173297</v>
      </c>
      <c r="T5">
        <f>'BCDTRtSY-state-adjusted'!T8</f>
        <v>1.3017533307792071</v>
      </c>
      <c r="U5">
        <f>'BCDTRtSY-state-adjusted'!U8</f>
        <v>1.3029277223838327</v>
      </c>
      <c r="V5">
        <f>'BCDTRtSY-state-adjusted'!V8</f>
        <v>1.3048492395905027</v>
      </c>
      <c r="W5">
        <f>'BCDTRtSY-state-adjusted'!W8</f>
        <v>1.3073618216523109</v>
      </c>
      <c r="X5">
        <f>'BCDTRtSY-state-adjusted'!X8</f>
        <v>1.3083097808650275</v>
      </c>
      <c r="Y5">
        <f>'BCDTRtSY-state-adjusted'!Y8</f>
        <v>1.3099149650543251</v>
      </c>
      <c r="Z5">
        <f>'BCDTRtSY-state-adjusted'!Z8</f>
        <v>1.3093376414865308</v>
      </c>
      <c r="AA5">
        <f>'BCDTRtSY-state-adjusted'!AA8</f>
        <v>1.30836290590264</v>
      </c>
      <c r="AB5">
        <f>'BCDTRtSY-state-adjusted'!AB8</f>
        <v>1.3070949722480563</v>
      </c>
    </row>
    <row r="6" spans="1:28">
      <c r="A6" t="s">
        <v>122</v>
      </c>
      <c r="B6">
        <f>'BCDTRtSY-state-adjusted'!B9</f>
        <v>1</v>
      </c>
      <c r="C6">
        <f>'BCDTRtSY-state-adjusted'!C9</f>
        <v>1</v>
      </c>
      <c r="D6">
        <f>'BCDTRtSY-state-adjusted'!D9</f>
        <v>1.000126682059137</v>
      </c>
      <c r="E6">
        <f>'BCDTRtSY-state-adjusted'!E9</f>
        <v>0.99320454351040433</v>
      </c>
      <c r="F6">
        <f>'BCDTRtSY-state-adjusted'!F9</f>
        <v>0.98038613695683829</v>
      </c>
      <c r="G6">
        <f>'BCDTRtSY-state-adjusted'!G9</f>
        <v>0.97004058774993962</v>
      </c>
      <c r="H6">
        <f>'BCDTRtSY-state-adjusted'!H9</f>
        <v>0.96200534128706261</v>
      </c>
      <c r="I6">
        <f>'BCDTRtSY-state-adjusted'!I9</f>
        <v>0.95189931198087474</v>
      </c>
      <c r="J6">
        <f>'BCDTRtSY-state-adjusted'!J9</f>
        <v>0.94414672885323803</v>
      </c>
      <c r="K6">
        <f>'BCDTRtSY-state-adjusted'!K9</f>
        <v>0.93760870643311967</v>
      </c>
      <c r="L6">
        <f>'BCDTRtSY-state-adjusted'!L9</f>
        <v>0.93231686747404707</v>
      </c>
      <c r="M6">
        <f>'BCDTRtSY-state-adjusted'!M9</f>
        <v>0.92831412697907378</v>
      </c>
      <c r="N6">
        <f>'BCDTRtSY-state-adjusted'!N9</f>
        <v>0.92145265555211819</v>
      </c>
      <c r="O6">
        <f>'BCDTRtSY-state-adjusted'!O9</f>
        <v>0.91466584952318275</v>
      </c>
      <c r="P6">
        <f>'BCDTRtSY-state-adjusted'!P9</f>
        <v>0.90775887959414159</v>
      </c>
      <c r="Q6">
        <f>'BCDTRtSY-state-adjusted'!Q9</f>
        <v>0.90082273007058788</v>
      </c>
      <c r="R6">
        <f>'BCDTRtSY-state-adjusted'!R9</f>
        <v>0.89401392224629028</v>
      </c>
      <c r="S6">
        <f>'BCDTRtSY-state-adjusted'!S9</f>
        <v>0.88628016617641903</v>
      </c>
      <c r="T6">
        <f>'BCDTRtSY-state-adjusted'!T9</f>
        <v>0.87898923491211811</v>
      </c>
      <c r="U6">
        <f>'BCDTRtSY-state-adjusted'!U9</f>
        <v>0.87201471914015027</v>
      </c>
      <c r="V6">
        <f>'BCDTRtSY-state-adjusted'!V9</f>
        <v>0.86507590411707669</v>
      </c>
      <c r="W6">
        <f>'BCDTRtSY-state-adjusted'!W9</f>
        <v>0.85814191257246109</v>
      </c>
      <c r="X6">
        <f>'BCDTRtSY-state-adjusted'!X9</f>
        <v>0.85080500524343117</v>
      </c>
      <c r="Y6">
        <f>'BCDTRtSY-state-adjusted'!Y9</f>
        <v>0.84290141000982055</v>
      </c>
      <c r="Z6">
        <f>'BCDTRtSY-state-adjusted'!Z9</f>
        <v>0.83490914917570103</v>
      </c>
      <c r="AA6">
        <f>'BCDTRtSY-state-adjusted'!AA9</f>
        <v>0.82661274139759588</v>
      </c>
      <c r="AB6">
        <f>'BCDTRtSY-state-adjusted'!AB9</f>
        <v>0.81861225872046639</v>
      </c>
    </row>
    <row r="7" spans="1:28">
      <c r="A7" t="s">
        <v>123</v>
      </c>
      <c r="B7">
        <f>'BCDTRtSY-state-adjusted'!B10</f>
        <v>1</v>
      </c>
      <c r="C7">
        <f>'BCDTRtSY-state-adjusted'!C10</f>
        <v>1</v>
      </c>
      <c r="D7">
        <f>'BCDTRtSY-state-adjusted'!D10</f>
        <v>1.0040637206627332</v>
      </c>
      <c r="E7">
        <f>'BCDTRtSY-state-adjusted'!E10</f>
        <v>1.0103101562250378</v>
      </c>
      <c r="F7">
        <f>'BCDTRtSY-state-adjusted'!F10</f>
        <v>1.0136234966140381</v>
      </c>
      <c r="G7">
        <f>'BCDTRtSY-state-adjusted'!G10</f>
        <v>1.0167294960629347</v>
      </c>
      <c r="H7">
        <f>'BCDTRtSY-state-adjusted'!H10</f>
        <v>1.0188130089108569</v>
      </c>
      <c r="I7">
        <f>'BCDTRtSY-state-adjusted'!I10</f>
        <v>1.019234242195223</v>
      </c>
      <c r="J7">
        <f>'BCDTRtSY-state-adjusted'!J10</f>
        <v>1.0197001331797189</v>
      </c>
      <c r="K7">
        <f>'BCDTRtSY-state-adjusted'!K10</f>
        <v>1.0186543820844807</v>
      </c>
      <c r="L7">
        <f>'BCDTRtSY-state-adjusted'!L10</f>
        <v>1.0179619500388712</v>
      </c>
      <c r="M7">
        <f>'BCDTRtSY-state-adjusted'!M10</f>
        <v>1.01638464953606</v>
      </c>
      <c r="N7">
        <f>'BCDTRtSY-state-adjusted'!N10</f>
        <v>1.0155978035034403</v>
      </c>
      <c r="O7">
        <f>'BCDTRtSY-state-adjusted'!O10</f>
        <v>1.0152505088146879</v>
      </c>
      <c r="P7">
        <f>'BCDTRtSY-state-adjusted'!P10</f>
        <v>1.0148750536212918</v>
      </c>
      <c r="Q7">
        <f>'BCDTRtSY-state-adjusted'!Q10</f>
        <v>1.0138015005460734</v>
      </c>
      <c r="R7">
        <f>'BCDTRtSY-state-adjusted'!R10</f>
        <v>1.0129531541998393</v>
      </c>
      <c r="S7">
        <f>'BCDTRtSY-state-adjusted'!S10</f>
        <v>1.0112801992826053</v>
      </c>
      <c r="T7">
        <f>'BCDTRtSY-state-adjusted'!T10</f>
        <v>1.0093517272693011</v>
      </c>
      <c r="U7">
        <f>'BCDTRtSY-state-adjusted'!U10</f>
        <v>1.0072025567186462</v>
      </c>
      <c r="V7">
        <f>'BCDTRtSY-state-adjusted'!V10</f>
        <v>1.0053763908557791</v>
      </c>
      <c r="W7">
        <f>'BCDTRtSY-state-adjusted'!W10</f>
        <v>1.0034257080292777</v>
      </c>
      <c r="X7">
        <f>'BCDTRtSY-state-adjusted'!X10</f>
        <v>1.0010380258694349</v>
      </c>
      <c r="Y7">
        <f>'BCDTRtSY-state-adjusted'!Y10</f>
        <v>0.99796330990905446</v>
      </c>
      <c r="Z7">
        <f>'BCDTRtSY-state-adjusted'!Z10</f>
        <v>0.99484832509663645</v>
      </c>
      <c r="AA7">
        <f>'BCDTRtSY-state-adjusted'!AA10</f>
        <v>0.99159578016399585</v>
      </c>
      <c r="AB7">
        <f>'BCDTRtSY-state-adjusted'!AB10</f>
        <v>0.98872650880708923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0.99427919322849023</v>
      </c>
      <c r="E2">
        <f>'BCDTRtSY-state-adjusted'!E13</f>
        <v>0.99402900916269987</v>
      </c>
      <c r="F2">
        <f>'BCDTRtSY-state-adjusted'!F13</f>
        <v>0.99341977363078338</v>
      </c>
      <c r="G2">
        <f>'BCDTRtSY-state-adjusted'!G13</f>
        <v>0.99398289058684797</v>
      </c>
      <c r="H2">
        <f>'BCDTRtSY-state-adjusted'!H13</f>
        <v>0.99930055047810074</v>
      </c>
      <c r="I2">
        <f>'BCDTRtSY-state-adjusted'!I13</f>
        <v>1.0014912537880847</v>
      </c>
      <c r="J2">
        <f>'BCDTRtSY-state-adjusted'!J13</f>
        <v>1.0054558467875279</v>
      </c>
      <c r="K2">
        <f>'BCDTRtSY-state-adjusted'!K13</f>
        <v>1.0081311211377553</v>
      </c>
      <c r="L2">
        <f>'BCDTRtSY-state-adjusted'!L13</f>
        <v>1.0127070482665723</v>
      </c>
      <c r="M2">
        <f>'BCDTRtSY-state-adjusted'!M13</f>
        <v>1.0179685822490845</v>
      </c>
      <c r="N2">
        <f>'BCDTRtSY-state-adjusted'!N13</f>
        <v>1.0235509764294579</v>
      </c>
      <c r="O2">
        <f>'BCDTRtSY-state-adjusted'!O13</f>
        <v>1.0303591828969569</v>
      </c>
      <c r="P2">
        <f>'BCDTRtSY-state-adjusted'!P13</f>
        <v>1.0383568755746024</v>
      </c>
      <c r="Q2">
        <f>'BCDTRtSY-state-adjusted'!Q13</f>
        <v>1.0466906304358936</v>
      </c>
      <c r="R2">
        <f>'BCDTRtSY-state-adjusted'!R13</f>
        <v>1.0555029549288879</v>
      </c>
      <c r="S2">
        <f>'BCDTRtSY-state-adjusted'!S13</f>
        <v>1.0630260015121404</v>
      </c>
      <c r="T2">
        <f>'BCDTRtSY-state-adjusted'!T13</f>
        <v>1.0699187579316298</v>
      </c>
      <c r="U2">
        <f>'BCDTRtSY-state-adjusted'!U13</f>
        <v>1.0742913051676635</v>
      </c>
      <c r="V2">
        <f>'BCDTRtSY-state-adjusted'!V13</f>
        <v>1.0783821276060868</v>
      </c>
      <c r="W2">
        <f>'BCDTRtSY-state-adjusted'!W13</f>
        <v>1.0837680532207754</v>
      </c>
      <c r="X2">
        <f>'BCDTRtSY-state-adjusted'!X13</f>
        <v>1.0895801980282382</v>
      </c>
      <c r="Y2">
        <f>'BCDTRtSY-state-adjusted'!Y13</f>
        <v>1.0960240316896936</v>
      </c>
      <c r="Z2">
        <f>'BCDTRtSY-state-adjusted'!Z13</f>
        <v>1.1012130111647918</v>
      </c>
      <c r="AA2">
        <f>'BCDTRtSY-state-adjusted'!AA13</f>
        <v>1.107124055464429</v>
      </c>
      <c r="AB2">
        <f>'BCDTRtSY-state-adjusted'!AB13</f>
        <v>1.1122831103379149</v>
      </c>
    </row>
    <row r="3" spans="1:28">
      <c r="A3" t="s">
        <v>118</v>
      </c>
      <c r="B3">
        <f>'BCDTRtSY-state-adjusted'!B14</f>
        <v>1</v>
      </c>
      <c r="C3">
        <f>'BCDTRtSY-state-adjusted'!C14</f>
        <v>1</v>
      </c>
      <c r="D3">
        <f>'BCDTRtSY-state-adjusted'!D14</f>
        <v>1.0088967808654923</v>
      </c>
      <c r="E3">
        <f>'BCDTRtSY-state-adjusted'!E14</f>
        <v>1.0219965580766208</v>
      </c>
      <c r="F3">
        <f>'BCDTRtSY-state-adjusted'!F14</f>
        <v>1.0342020657199424</v>
      </c>
      <c r="G3">
        <f>'BCDTRtSY-state-adjusted'!G14</f>
        <v>1.043796930985192</v>
      </c>
      <c r="H3">
        <f>'BCDTRtSY-state-adjusted'!H14</f>
        <v>1.0557275805194115</v>
      </c>
      <c r="I3">
        <f>'BCDTRtSY-state-adjusted'!I14</f>
        <v>1.0613877696410672</v>
      </c>
      <c r="J3">
        <f>'BCDTRtSY-state-adjusted'!J14</f>
        <v>1.067928896316225</v>
      </c>
      <c r="K3">
        <f>'BCDTRtSY-state-adjusted'!K14</f>
        <v>1.0722802003134724</v>
      </c>
      <c r="L3">
        <f>'BCDTRtSY-state-adjusted'!L14</f>
        <v>1.0778534025041191</v>
      </c>
      <c r="M3">
        <f>'BCDTRtSY-state-adjusted'!M14</f>
        <v>1.0832709719451981</v>
      </c>
      <c r="N3">
        <f>'BCDTRtSY-state-adjusted'!N14</f>
        <v>1.0878789775286899</v>
      </c>
      <c r="O3">
        <f>'BCDTRtSY-state-adjusted'!O14</f>
        <v>1.0917836368990221</v>
      </c>
      <c r="P3">
        <f>'BCDTRtSY-state-adjusted'!P14</f>
        <v>1.094681976037932</v>
      </c>
      <c r="Q3">
        <f>'BCDTRtSY-state-adjusted'!Q14</f>
        <v>1.0970116586918812</v>
      </c>
      <c r="R3">
        <f>'BCDTRtSY-state-adjusted'!R14</f>
        <v>1.0995054852058406</v>
      </c>
      <c r="S3">
        <f>'BCDTRtSY-state-adjusted'!S14</f>
        <v>1.1014264428852678</v>
      </c>
      <c r="T3">
        <f>'BCDTRtSY-state-adjusted'!T14</f>
        <v>1.102814840507405</v>
      </c>
      <c r="U3">
        <f>'BCDTRtSY-state-adjusted'!U14</f>
        <v>1.1032016689012036</v>
      </c>
      <c r="V3">
        <f>'BCDTRtSY-state-adjusted'!V14</f>
        <v>1.1038841990467703</v>
      </c>
      <c r="W3">
        <f>'BCDTRtSY-state-adjusted'!W14</f>
        <v>1.1063663471702196</v>
      </c>
      <c r="X3">
        <f>'BCDTRtSY-state-adjusted'!X14</f>
        <v>1.1090321349545784</v>
      </c>
      <c r="Y3">
        <f>'BCDTRtSY-state-adjusted'!Y14</f>
        <v>1.1115862454923096</v>
      </c>
      <c r="Z3">
        <f>'BCDTRtSY-state-adjusted'!Z14</f>
        <v>1.1120803171959093</v>
      </c>
      <c r="AA3">
        <f>'BCDTRtSY-state-adjusted'!AA14</f>
        <v>1.11249006398184</v>
      </c>
      <c r="AB3">
        <f>'BCDTRtSY-state-adjusted'!AB14</f>
        <v>1.1123495659833671</v>
      </c>
    </row>
    <row r="4" spans="1:28">
      <c r="A4" t="s">
        <v>116</v>
      </c>
      <c r="B4">
        <f>'BCDTRtSY-state-adjusted'!B15</f>
        <v>1</v>
      </c>
      <c r="C4">
        <f>'BCDTRtSY-state-adjusted'!C15</f>
        <v>1</v>
      </c>
      <c r="D4">
        <f>'BCDTRtSY-state-adjusted'!D15</f>
        <v>1.0249373155834895</v>
      </c>
      <c r="E4">
        <f>'BCDTRtSY-state-adjusted'!E15</f>
        <v>1.0420595209511991</v>
      </c>
      <c r="F4">
        <f>'BCDTRtSY-state-adjusted'!F15</f>
        <v>1.0527039498178166</v>
      </c>
      <c r="G4">
        <f>'BCDTRtSY-state-adjusted'!G15</f>
        <v>1.0669974271402347</v>
      </c>
      <c r="H4">
        <f>'BCDTRtSY-state-adjusted'!H15</f>
        <v>1.0842125362244182</v>
      </c>
      <c r="I4">
        <f>'BCDTRtSY-state-adjusted'!I15</f>
        <v>1.0990970034231362</v>
      </c>
      <c r="J4">
        <f>'BCDTRtSY-state-adjusted'!J15</f>
        <v>1.116983156072944</v>
      </c>
      <c r="K4">
        <f>'BCDTRtSY-state-adjusted'!K15</f>
        <v>1.1362280784039811</v>
      </c>
      <c r="L4">
        <f>'BCDTRtSY-state-adjusted'!L15</f>
        <v>1.157124576590411</v>
      </c>
      <c r="M4">
        <f>'BCDTRtSY-state-adjusted'!M15</f>
        <v>1.1797751028557917</v>
      </c>
      <c r="N4">
        <f>'BCDTRtSY-state-adjusted'!N15</f>
        <v>1.1979149358355146</v>
      </c>
      <c r="O4">
        <f>'BCDTRtSY-state-adjusted'!O15</f>
        <v>1.2161528013142124</v>
      </c>
      <c r="P4">
        <f>'BCDTRtSY-state-adjusted'!P15</f>
        <v>1.2342687117391544</v>
      </c>
      <c r="Q4">
        <f>'BCDTRtSY-state-adjusted'!Q15</f>
        <v>1.251762930070621</v>
      </c>
      <c r="R4">
        <f>'BCDTRtSY-state-adjusted'!R15</f>
        <v>1.2696014170703327</v>
      </c>
      <c r="S4">
        <f>'BCDTRtSY-state-adjusted'!S15</f>
        <v>1.2861781660735565</v>
      </c>
      <c r="T4">
        <f>'BCDTRtSY-state-adjusted'!T15</f>
        <v>1.3034740230005466</v>
      </c>
      <c r="U4">
        <f>'BCDTRtSY-state-adjusted'!U15</f>
        <v>1.321646912510146</v>
      </c>
      <c r="V4">
        <f>'BCDTRtSY-state-adjusted'!V15</f>
        <v>1.339771177809906</v>
      </c>
      <c r="W4">
        <f>'BCDTRtSY-state-adjusted'!W15</f>
        <v>1.3579837181779775</v>
      </c>
      <c r="X4">
        <f>'BCDTRtSY-state-adjusted'!X15</f>
        <v>1.3755368977467846</v>
      </c>
      <c r="Y4">
        <f>'BCDTRtSY-state-adjusted'!Y15</f>
        <v>1.3918063919855634</v>
      </c>
      <c r="Z4">
        <f>'BCDTRtSY-state-adjusted'!Z15</f>
        <v>1.4082101841160006</v>
      </c>
      <c r="AA4">
        <f>'BCDTRtSY-state-adjusted'!AA15</f>
        <v>1.4239366230282562</v>
      </c>
      <c r="AB4">
        <f>'BCDTRtSY-state-adjusted'!AB15</f>
        <v>1.4400211528781872</v>
      </c>
    </row>
    <row r="5" spans="1:28">
      <c r="A5" t="s">
        <v>121</v>
      </c>
      <c r="B5">
        <f>'BCDTRtSY-state-adjusted'!B16</f>
        <v>1</v>
      </c>
      <c r="C5">
        <f>'BCDTRtSY-state-adjusted'!C16</f>
        <v>1</v>
      </c>
      <c r="D5">
        <f>'BCDTRtSY-state-adjusted'!D16</f>
        <v>0.97546934380175698</v>
      </c>
      <c r="E5">
        <f>'BCDTRtSY-state-adjusted'!E16</f>
        <v>1.0050606965743725</v>
      </c>
      <c r="F5">
        <f>'BCDTRtSY-state-adjusted'!F16</f>
        <v>0.98264055141669138</v>
      </c>
      <c r="G5">
        <f>'BCDTRtSY-state-adjusted'!G16</f>
        <v>0.97310298240189252</v>
      </c>
      <c r="H5">
        <f>'BCDTRtSY-state-adjusted'!H16</f>
        <v>0.97780296374244258</v>
      </c>
      <c r="I5">
        <f>'BCDTRtSY-state-adjusted'!I16</f>
        <v>0.94937330439604484</v>
      </c>
      <c r="J5">
        <f>'BCDTRtSY-state-adjusted'!J16</f>
        <v>0.95001071144238036</v>
      </c>
      <c r="K5">
        <f>'BCDTRtSY-state-adjusted'!K16</f>
        <v>0.95078729089640623</v>
      </c>
      <c r="L5">
        <f>'BCDTRtSY-state-adjusted'!L16</f>
        <v>0.94477708576537234</v>
      </c>
      <c r="M5">
        <f>'BCDTRtSY-state-adjusted'!M16</f>
        <v>0.94455976812599773</v>
      </c>
      <c r="N5">
        <f>'BCDTRtSY-state-adjusted'!N16</f>
        <v>0.94350578991272416</v>
      </c>
      <c r="O5">
        <f>'BCDTRtSY-state-adjusted'!O16</f>
        <v>0.94379198610713078</v>
      </c>
      <c r="P5">
        <f>'BCDTRtSY-state-adjusted'!P16</f>
        <v>0.94090722903796564</v>
      </c>
      <c r="Q5">
        <f>'BCDTRtSY-state-adjusted'!Q16</f>
        <v>0.93954831370579184</v>
      </c>
      <c r="R5">
        <f>'BCDTRtSY-state-adjusted'!R16</f>
        <v>0.9372413604375488</v>
      </c>
      <c r="S5">
        <f>'BCDTRtSY-state-adjusted'!S16</f>
        <v>0.93291089355531431</v>
      </c>
      <c r="T5">
        <f>'BCDTRtSY-state-adjusted'!T16</f>
        <v>0.92657251914512695</v>
      </c>
      <c r="U5">
        <f>'BCDTRtSY-state-adjusted'!U16</f>
        <v>0.92087279846250203</v>
      </c>
      <c r="V5">
        <f>'BCDTRtSY-state-adjusted'!V16</f>
        <v>0.91754648519256654</v>
      </c>
      <c r="W5">
        <f>'BCDTRtSY-state-adjusted'!W16</f>
        <v>0.91366811267073444</v>
      </c>
      <c r="X5">
        <f>'BCDTRtSY-state-adjusted'!X16</f>
        <v>0.91217821939057664</v>
      </c>
      <c r="Y5">
        <f>'BCDTRtSY-state-adjusted'!Y16</f>
        <v>0.91414303201822933</v>
      </c>
      <c r="Z5">
        <f>'BCDTRtSY-state-adjusted'!Z16</f>
        <v>0.91363241559075203</v>
      </c>
      <c r="AA5">
        <f>'BCDTRtSY-state-adjusted'!AA16</f>
        <v>0.90764531065759946</v>
      </c>
      <c r="AB5">
        <f>'BCDTRtSY-state-adjusted'!AB16</f>
        <v>0.90230786141776786</v>
      </c>
    </row>
    <row r="6" spans="1:28">
      <c r="A6" t="s">
        <v>122</v>
      </c>
      <c r="B6">
        <f>'BCDTRtSY-state-adjusted'!B17</f>
        <v>1</v>
      </c>
      <c r="C6">
        <f>'BCDTRtSY-state-adjusted'!C17</f>
        <v>1</v>
      </c>
      <c r="D6">
        <f>'BCDTRtSY-state-adjusted'!D17</f>
        <v>0.99031327213001419</v>
      </c>
      <c r="E6">
        <f>'BCDTRtSY-state-adjusted'!E17</f>
        <v>1.0075680547418258</v>
      </c>
      <c r="F6">
        <f>'BCDTRtSY-state-adjusted'!F17</f>
        <v>1.0267800182712621</v>
      </c>
      <c r="G6">
        <f>'BCDTRtSY-state-adjusted'!G17</f>
        <v>1.042584860623597</v>
      </c>
      <c r="H6">
        <f>'BCDTRtSY-state-adjusted'!H17</f>
        <v>1.0592549024341407</v>
      </c>
      <c r="I6">
        <f>'BCDTRtSY-state-adjusted'!I17</f>
        <v>1.072588179571202</v>
      </c>
      <c r="J6">
        <f>'BCDTRtSY-state-adjusted'!J17</f>
        <v>1.087849590141263</v>
      </c>
      <c r="K6">
        <f>'BCDTRtSY-state-adjusted'!K17</f>
        <v>1.1032949548464739</v>
      </c>
      <c r="L6">
        <f>'BCDTRtSY-state-adjusted'!L17</f>
        <v>1.119340194689177</v>
      </c>
      <c r="M6">
        <f>'BCDTRtSY-state-adjusted'!M17</f>
        <v>1.1362622387644239</v>
      </c>
      <c r="N6">
        <f>'BCDTRtSY-state-adjusted'!N17</f>
        <v>1.1491547087944274</v>
      </c>
      <c r="O6">
        <f>'BCDTRtSY-state-adjusted'!O17</f>
        <v>1.1587033086226493</v>
      </c>
      <c r="P6">
        <f>'BCDTRtSY-state-adjusted'!P17</f>
        <v>1.1681737871825817</v>
      </c>
      <c r="Q6">
        <f>'BCDTRtSY-state-adjusted'!Q17</f>
        <v>1.1764316813478792</v>
      </c>
      <c r="R6">
        <f>'BCDTRtSY-state-adjusted'!R17</f>
        <v>1.1847072101494938</v>
      </c>
      <c r="S6">
        <f>'BCDTRtSY-state-adjusted'!S17</f>
        <v>1.1922106203819065</v>
      </c>
      <c r="T6">
        <f>'BCDTRtSY-state-adjusted'!T17</f>
        <v>1.2006669192544135</v>
      </c>
      <c r="U6">
        <f>'BCDTRtSY-state-adjusted'!U17</f>
        <v>1.2086453016342718</v>
      </c>
      <c r="V6">
        <f>'BCDTRtSY-state-adjusted'!V17</f>
        <v>1.2164094199538442</v>
      </c>
      <c r="W6">
        <f>'BCDTRtSY-state-adjusted'!W17</f>
        <v>1.2253880774053738</v>
      </c>
      <c r="X6">
        <f>'BCDTRtSY-state-adjusted'!X17</f>
        <v>1.2344356354447281</v>
      </c>
      <c r="Y6">
        <f>'BCDTRtSY-state-adjusted'!Y17</f>
        <v>1.2435841896815272</v>
      </c>
      <c r="Z6">
        <f>'BCDTRtSY-state-adjusted'!Z17</f>
        <v>1.2519272208543599</v>
      </c>
      <c r="AA6">
        <f>'BCDTRtSY-state-adjusted'!AA17</f>
        <v>1.2599055944205451</v>
      </c>
      <c r="AB6">
        <f>'BCDTRtSY-state-adjusted'!AB17</f>
        <v>1.2691568858115052</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2026-08-14T21:48:53Z</dcterms:modified>
</cp:coreProperties>
</file>