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KS\trans\BLP\"/>
    </mc:Choice>
  </mc:AlternateContent>
  <xr:revisionPtr revIDLastSave="0" documentId="8_{15054212-DC77-4961-B9B8-00EC5BAB3C66}" xr6:coauthVersionLast="47" xr6:coauthVersionMax="47" xr10:uidLastSave="{00000000-0000-0000-0000-000000000000}"/>
  <bookViews>
    <workbookView xWindow="780" yWindow="780" windowWidth="21600" windowHeight="12405" activeTab="3" xr2:uid="{00000000-000D-0000-FFFF-FFFF00000000}"/>
  </bookViews>
  <sheets>
    <sheet name="About" sheetId="1" r:id="rId1"/>
    <sheet name="StatePolicies" sheetId="4" r:id="rId2"/>
    <sheet name="WA" sheetId="5" r:id="rId3"/>
    <sheet name="BLP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33" i="4" l="1"/>
  <c r="AC33" i="4"/>
  <c r="AD33" i="4"/>
  <c r="AE33" i="4"/>
  <c r="AF33" i="4"/>
  <c r="AG33" i="4"/>
  <c r="AH33" i="4"/>
  <c r="AI33" i="4"/>
  <c r="AJ33" i="4"/>
  <c r="AA33" i="4"/>
  <c r="L49" i="4"/>
  <c r="M49" i="4"/>
  <c r="K49" i="4"/>
  <c r="B2" i="1"/>
  <c r="S33" i="4"/>
  <c r="T33" i="4"/>
  <c r="U33" i="4"/>
  <c r="V33" i="4"/>
  <c r="W33" i="4"/>
  <c r="Y33" i="4"/>
  <c r="Z33" i="4"/>
  <c r="R33" i="4"/>
  <c r="X33" i="4"/>
  <c r="Q33" i="4"/>
  <c r="K33" i="4"/>
  <c r="L33" i="4"/>
  <c r="N33" i="4"/>
  <c r="O33" i="4"/>
  <c r="P33" i="4"/>
  <c r="M33" i="4"/>
  <c r="J33" i="4"/>
  <c r="O49" i="4"/>
  <c r="P49" i="4"/>
  <c r="Q49" i="4"/>
  <c r="R49" i="4"/>
  <c r="S49" i="4"/>
  <c r="T49" i="4"/>
  <c r="U49" i="4"/>
  <c r="V49" i="4"/>
  <c r="W49" i="4"/>
  <c r="X49" i="4"/>
  <c r="N49" i="4"/>
  <c r="R39" i="4"/>
  <c r="S39" i="4"/>
  <c r="T39" i="4"/>
  <c r="U39" i="4"/>
  <c r="Q39" i="4"/>
  <c r="L39" i="4"/>
  <c r="M39" i="4"/>
  <c r="N39" i="4"/>
  <c r="O39" i="4"/>
  <c r="P39" i="4"/>
  <c r="K39" i="4"/>
  <c r="J39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Q7" i="4"/>
  <c r="K7" i="4"/>
  <c r="M7" i="4"/>
  <c r="N7" i="4"/>
  <c r="L7" i="4"/>
  <c r="O7" i="4"/>
  <c r="P7" i="4"/>
  <c r="J7" i="4"/>
  <c r="Y49" i="4" l="1"/>
  <c r="Z49" i="4" s="1"/>
  <c r="AA49" i="4" s="1"/>
  <c r="AB49" i="4" s="1"/>
  <c r="AC49" i="4" s="1"/>
  <c r="AD49" i="4" s="1"/>
  <c r="AE49" i="4" s="1"/>
  <c r="AF49" i="4" s="1"/>
  <c r="AG49" i="4" s="1"/>
  <c r="AH49" i="4" s="1"/>
  <c r="AI49" i="4" s="1"/>
  <c r="AJ49" i="4" s="1"/>
  <c r="V39" i="4"/>
  <c r="W39" i="4" s="1"/>
  <c r="X39" i="4" s="1"/>
  <c r="Y39" i="4" s="1"/>
  <c r="Z39" i="4" s="1"/>
  <c r="AA39" i="4" s="1"/>
  <c r="AB39" i="4" s="1"/>
  <c r="AC39" i="4" s="1"/>
  <c r="AD39" i="4" s="1"/>
  <c r="AE39" i="4" s="1"/>
  <c r="AF39" i="4" s="1"/>
  <c r="AG39" i="4" s="1"/>
  <c r="AH39" i="4" s="1"/>
  <c r="AI39" i="4" s="1"/>
  <c r="AJ39" i="4" s="1"/>
  <c r="B2" i="3" l="1" a="1"/>
  <c r="B2" i="3" s="1"/>
  <c r="C2" i="3" l="1" a="1"/>
  <c r="C2" i="3" s="1"/>
  <c r="D2" i="3" l="1" a="1"/>
  <c r="D2" i="3" s="1"/>
  <c r="E2" i="3" l="1" a="1"/>
  <c r="E2" i="3" s="1"/>
  <c r="F2" i="3" l="1" a="1"/>
  <c r="F2" i="3" s="1"/>
  <c r="G2" i="3" l="1" a="1"/>
  <c r="G2" i="3" s="1"/>
  <c r="H2" i="3" l="1" a="1"/>
  <c r="H2" i="3" s="1"/>
  <c r="I2" i="3" l="1" a="1"/>
  <c r="I2" i="3" s="1"/>
  <c r="J2" i="3" l="1" a="1"/>
  <c r="J2" i="3" s="1"/>
  <c r="K2" i="3" l="1" a="1"/>
  <c r="K2" i="3" s="1"/>
  <c r="L2" i="3" l="1" a="1"/>
  <c r="L2" i="3" s="1"/>
  <c r="M2" i="3" l="1" a="1"/>
  <c r="M2" i="3" s="1"/>
  <c r="N2" i="3" l="1" a="1"/>
  <c r="N2" i="3" s="1"/>
  <c r="O2" i="3" l="1" a="1"/>
  <c r="O2" i="3" s="1"/>
  <c r="P2" i="3" l="1" a="1"/>
  <c r="P2" i="3" s="1"/>
  <c r="Q2" i="3" l="1" a="1"/>
  <c r="Q2" i="3" s="1"/>
  <c r="R2" i="3" l="1" a="1"/>
  <c r="R2" i="3" s="1"/>
  <c r="S2" i="3" l="1" a="1"/>
  <c r="S2" i="3" s="1"/>
  <c r="T2" i="3" l="1" a="1"/>
  <c r="T2" i="3" s="1"/>
  <c r="U2" i="3" l="1" a="1"/>
  <c r="U2" i="3" s="1"/>
  <c r="V2" i="3" l="1" a="1"/>
  <c r="V2" i="3" s="1"/>
  <c r="AF7" i="4" l="1"/>
  <c r="W2" i="3" a="1"/>
  <c r="W2" i="3" s="1"/>
  <c r="AG7" i="4" l="1"/>
  <c r="X2" i="3" a="1"/>
  <c r="X2" i="3" s="1"/>
  <c r="AH7" i="4" l="1"/>
  <c r="Y2" i="3" a="1"/>
  <c r="Y2" i="3" s="1"/>
  <c r="AI7" i="4" l="1"/>
  <c r="Z2" i="3" a="1"/>
  <c r="Z2" i="3" s="1"/>
  <c r="AJ7" i="4" l="1"/>
  <c r="AB2" i="3" s="1" a="1"/>
  <c r="AB2" i="3" s="1"/>
  <c r="AA2" i="3" a="1"/>
  <c r="AA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<sst xmlns="http://schemas.openxmlformats.org/spreadsheetml/2006/main" count="291" uniqueCount="137">
  <si>
    <t>BLP BAU LCFS Percentage</t>
  </si>
  <si>
    <t>Source:</t>
  </si>
  <si>
    <t>BAU LCFS Perc</t>
  </si>
  <si>
    <t>California Air Resource Board</t>
  </si>
  <si>
    <t>Notes</t>
  </si>
  <si>
    <t>Colorado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</si>
  <si>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</si>
  <si>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</si>
  <si>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</si>
  <si>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</si>
  <si>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</si>
  <si>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</si>
  <si>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</si>
  <si>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</si>
  <si>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</si>
  <si>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</si>
  <si>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</si>
  <si>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</si>
  <si>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</si>
  <si>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</si>
  <si>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</si>
  <si>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</si>
  <si>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</si>
  <si>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</si>
  <si>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</si>
  <si>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</si>
  <si>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</si>
  <si>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</si>
  <si>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</si>
  <si>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</si>
  <si>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</si>
  <si>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</si>
  <si>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</si>
  <si>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</si>
  <si>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</si>
  <si>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</si>
  <si>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</si>
  <si>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</si>
  <si>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</si>
  <si>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</si>
  <si>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</si>
  <si>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</si>
  <si>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</si>
  <si>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</si>
  <si>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</si>
  <si>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</si>
  <si>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</si>
  <si>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</si>
  <si>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</si>
  <si>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</si>
  <si>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</si>
  <si>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</si>
  <si>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</si>
  <si>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</si>
  <si>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</si>
  <si>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</si>
  <si>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</si>
  <si>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</si>
  <si>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</si>
  <si>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</si>
  <si>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</si>
  <si>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</si>
  <si>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</si>
  <si>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</si>
  <si>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</si>
  <si>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</si>
  <si>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</si>
  <si>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</si>
  <si>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</si>
  <si>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</si>
  <si>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</si>
  <si>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</si>
  <si>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</si>
  <si>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</si>
  <si>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</si>
  <si>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</si>
  <si>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</si>
  <si>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</si>
  <si>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</si>
  <si>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</si>
  <si>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</si>
  <si>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</si>
  <si>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</si>
  <si>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</si>
  <si>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</si>
  <si>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</si>
  <si>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</si>
  <si>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</si>
  <si>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</si>
  <si>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</si>
  <si>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</si>
  <si>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</si>
  <si>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</si>
  <si>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</si>
  <si>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</si>
  <si>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</si>
  <si>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</si>
  <si>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</si>
  <si>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</si>
  <si>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</si>
  <si>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</si>
  <si>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</si>
  <si>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</si>
  <si>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</si>
  <si>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</si>
  <si>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</si>
  <si>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LCFS</t>
  </si>
  <si>
    <t>No</t>
  </si>
  <si>
    <t>Yes</t>
  </si>
  <si>
    <t>California Calcs</t>
  </si>
  <si>
    <t>Washington Calcs</t>
  </si>
  <si>
    <t>https://ecology.wa.gov/air-climate/reducing-greenhouse-gas-emissions/clean-fuel-standard</t>
  </si>
  <si>
    <t>Washington Department of Ecology</t>
  </si>
  <si>
    <t>Clean Fuel Standard</t>
  </si>
  <si>
    <t>"The Clean Fuel Standard law requires fuel suppliers to gradually reduce the carbon intensity of transportation fuels to 20% below 2017 levels by 2034."</t>
  </si>
  <si>
    <t>Oregon Clean Fuels Program</t>
  </si>
  <si>
    <t>Clean Fuels Program</t>
  </si>
  <si>
    <t>Oregon Calcs</t>
  </si>
  <si>
    <t>https://ww2.arb.ca.gov/sites/default/files/2025-11/LCFS%20Basics_post11-20-25_final.pdf</t>
  </si>
  <si>
    <t>CARB</t>
  </si>
  <si>
    <t>Overview of the Low Carbon Fuel Standard</t>
  </si>
  <si>
    <t>Goal</t>
  </si>
  <si>
    <t>30% reduction by 2030, 90% by 2045</t>
  </si>
  <si>
    <t>reduction</t>
  </si>
  <si>
    <t>https://www.oregon.gov/deq/ghgp/cfp/Pages/CFP-Overview.aspx</t>
  </si>
  <si>
    <t>ear</t>
  </si>
  <si>
    <t>Annual carbon intensity reduction</t>
  </si>
  <si>
    <t>Total carbon intensity reduction (%)</t>
  </si>
  <si>
    <t>Carbon intensity standard - gasoline</t>
  </si>
  <si>
    <t>Carbon intensity standard - diesel</t>
  </si>
  <si>
    <t>2028-2038</t>
  </si>
  <si>
    <t>3 - 4% annually</t>
  </si>
  <si>
    <t>45%* by 2038</t>
  </si>
  <si>
    <t>44.5*</t>
  </si>
  <si>
    <t>45.1*</t>
  </si>
  <si>
    <t>hold constant</t>
  </si>
  <si>
    <t>https://data.usclimatealliance.org/policy/2453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</si>
</sst>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2"/>
      <color rgb="FF212529"/>
      <name val="Arial"/>
      <family val="2"/>
    </font>
    <font>
      <b/>
      <sz val="12"/>
      <color rgb="FF21252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0">
    <xf numFmtId="0" fontId="0" fillId="0" borderId="0"/>
    <xf numFmtId="9" fontId="1" fillId="0" borderId="0" applyFont="0" applyFill="0" applyBorder="0" applyAlignment="0" applyProtection="0"/>
    <xf numFmtId="0" fontId="3" fillId="0" borderId="0"/>
    <xf numFmtId="0" fontId="3" fillId="0" borderId="1" applyNumberFormat="0" applyProtection="0">
      <alignment wrapText="1"/>
    </xf>
    <xf numFmtId="0" fontId="4" fillId="0" borderId="2" applyNumberFormat="0" applyProtection="0">
      <alignment wrapText="1"/>
    </xf>
    <xf numFmtId="0" fontId="3" fillId="0" borderId="3" applyNumberFormat="0" applyFont="0" applyProtection="0">
      <alignment wrapText="1"/>
    </xf>
    <xf numFmtId="0" fontId="4" fillId="0" borderId="4" applyNumberFormat="0" applyProtection="0">
      <alignment wrapText="1"/>
    </xf>
    <xf numFmtId="0" fontId="3" fillId="0" borderId="0" applyNumberFormat="0" applyFill="0" applyBorder="0" applyAlignment="0" applyProtection="0"/>
    <xf numFmtId="0" fontId="5" fillId="0" borderId="0" applyNumberFormat="0" applyProtection="0">
      <alignment horizontal="left"/>
    </xf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2" fillId="0" borderId="0" xfId="0" applyFont="1"/>
    <xf numFmtId="0" fontId="2" fillId="2" borderId="0" xfId="0" applyFont="1" applyFill="1"/>
    <xf numFmtId="2" fontId="0" fillId="0" borderId="0" xfId="1" applyNumberFormat="1" applyFont="1"/>
    <xf numFmtId="0" fontId="6" fillId="0" borderId="0" xfId="9"/>
    <xf numFmtId="0" fontId="7" fillId="0" borderId="0" xfId="0" applyFont="1"/>
    <xf numFmtId="14" fontId="0" fillId="0" borderId="0" xfId="0" applyNumberFormat="1"/>
    <xf numFmtId="0" fontId="8" fillId="0" borderId="0" xfId="0" applyFont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5" xfId="0" applyFont="1" applyBorder="1"/>
    <xf numFmtId="164" fontId="0" fillId="4" borderId="0" xfId="0" applyNumberFormat="1" applyFill="1"/>
    <xf numFmtId="165" fontId="0" fillId="4" borderId="0" xfId="0" applyNumberFormat="1" applyFill="1"/>
    <xf numFmtId="0" fontId="0" fillId="3" borderId="0" xfId="0" applyFill="1"/>
    <xf numFmtId="0" fontId="0" fillId="4" borderId="0" xfId="0" applyFill="1"/>
    <xf numFmtId="0" fontId="2" fillId="0" borderId="7" xfId="0" applyFont="1" applyBorder="1"/>
    <xf numFmtId="9" fontId="0" fillId="0" borderId="0" xfId="0" applyNumberFormat="1"/>
    <xf numFmtId="0" fontId="0" fillId="0" borderId="10" xfId="0" applyBorder="1"/>
    <xf numFmtId="0" fontId="0" fillId="0" borderId="11" xfId="0" applyBorder="1"/>
    <xf numFmtId="9" fontId="0" fillId="0" borderId="11" xfId="0" applyNumberFormat="1" applyBorder="1"/>
    <xf numFmtId="0" fontId="0" fillId="0" borderId="12" xfId="0" applyBorder="1"/>
    <xf numFmtId="0" fontId="10" fillId="5" borderId="13" xfId="0" applyFont="1" applyFill="1" applyBorder="1" applyAlignment="1">
      <alignment vertical="center" wrapText="1"/>
    </xf>
    <xf numFmtId="0" fontId="10" fillId="5" borderId="14" xfId="0" applyFont="1" applyFill="1" applyBorder="1" applyAlignment="1">
      <alignment vertical="center" wrapText="1"/>
    </xf>
    <xf numFmtId="0" fontId="9" fillId="5" borderId="15" xfId="0" applyFont="1" applyFill="1" applyBorder="1" applyAlignment="1">
      <alignment horizontal="center" vertical="center" wrapText="1"/>
    </xf>
    <xf numFmtId="9" fontId="9" fillId="5" borderId="16" xfId="0" applyNumberFormat="1" applyFont="1" applyFill="1" applyBorder="1" applyAlignment="1">
      <alignment horizontal="center" vertical="center" wrapText="1"/>
    </xf>
    <xf numFmtId="0" fontId="9" fillId="5" borderId="16" xfId="0" applyFont="1" applyFill="1" applyBorder="1" applyAlignment="1">
      <alignment horizontal="center" vertical="center" wrapText="1"/>
    </xf>
    <xf numFmtId="0" fontId="2" fillId="3" borderId="0" xfId="0" applyFont="1" applyFill="1"/>
  </cellXfs>
  <cellStyles count="10">
    <cellStyle name="Body: normal cell" xfId="5" xr:uid="{00000000-0005-0000-0000-000000000000}"/>
    <cellStyle name="Font: Calibri, 9pt regular" xfId="7" xr:uid="{00000000-0005-0000-0000-000001000000}"/>
    <cellStyle name="Footnotes: top row" xfId="3" xr:uid="{00000000-0005-0000-0000-000002000000}"/>
    <cellStyle name="Header: bottom row" xfId="6" xr:uid="{00000000-0005-0000-0000-000003000000}"/>
    <cellStyle name="Hyperlink" xfId="9" builtinId="8"/>
    <cellStyle name="Normal" xfId="0" builtinId="0"/>
    <cellStyle name="Normal 2" xfId="2" xr:uid="{00000000-0005-0000-0000-000006000000}"/>
    <cellStyle name="Parent row" xfId="4" xr:uid="{00000000-0005-0000-0000-000007000000}"/>
    <cellStyle name="Percent" xfId="1" builtinId="5"/>
    <cellStyle name="Table title" xfId="8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cology.wa.gov/air-climate/reducing-greenhouse-gas-emissions/clean-fuel-standa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1"/>
  <sheetViews>
    <sheetView workbookViewId="0">
      <selection activeCell="B21" sqref="B21"/>
    </sheetView>
  </sheetViews>
  <sheetFormatPr defaultColWidth="8.85546875" defaultRowHeight="15" x14ac:dyDescent="0.25"/>
  <cols>
    <col min="1" max="1" width="24" customWidth="1"/>
    <col min="2" max="2" width="56.7109375" customWidth="1"/>
  </cols>
  <sheetData>
    <row r="1" spans="1:6" x14ac:dyDescent="0.25">
      <c r="A1" s="1" t="s">
        <v>0</v>
      </c>
      <c r="B1" s="5" t="s">
        <v>36</v>
      </c>
      <c r="C1" s="6">
        <v>46190</v>
      </c>
      <c r="E1" s="7" t="s">
        <v>6</v>
      </c>
      <c r="F1" s="7" t="s">
        <v>6</v>
      </c>
    </row>
    <row r="2" spans="1:6" x14ac:dyDescent="0.25">
      <c r="B2" t="str">
        <f>LOOKUP(B1,E2:F51,F2:F51)</f>
        <v>KS</v>
      </c>
      <c r="E2" s="5" t="s">
        <v>7</v>
      </c>
      <c r="F2" s="5" t="s">
        <v>8</v>
      </c>
    </row>
    <row r="3" spans="1:6" x14ac:dyDescent="0.25">
      <c r="A3" s="1" t="s">
        <v>1</v>
      </c>
      <c r="B3" s="2" t="s">
        <v>3</v>
      </c>
      <c r="E3" s="5" t="s">
        <v>9</v>
      </c>
      <c r="F3" s="5" t="s">
        <v>10</v>
      </c>
    </row>
    <row r="4" spans="1:6" x14ac:dyDescent="0.25">
      <c r="A4" s="1"/>
      <c r="B4" t="s">
        <v>119</v>
      </c>
      <c r="E4" s="5" t="s">
        <v>11</v>
      </c>
      <c r="F4" s="5" t="s">
        <v>12</v>
      </c>
    </row>
    <row r="5" spans="1:6" x14ac:dyDescent="0.25">
      <c r="B5" s="4" t="s">
        <v>118</v>
      </c>
      <c r="E5" s="5" t="s">
        <v>13</v>
      </c>
      <c r="F5" s="5" t="s">
        <v>14</v>
      </c>
    </row>
    <row r="6" spans="1:6" x14ac:dyDescent="0.25">
      <c r="B6" t="s">
        <v>120</v>
      </c>
      <c r="E6" s="5" t="s">
        <v>15</v>
      </c>
      <c r="F6" s="5" t="s">
        <v>16</v>
      </c>
    </row>
    <row r="7" spans="1:6" x14ac:dyDescent="0.25">
      <c r="B7">
        <v>2025</v>
      </c>
      <c r="E7" s="5" t="s">
        <v>5</v>
      </c>
      <c r="F7" s="5" t="s">
        <v>17</v>
      </c>
    </row>
    <row r="8" spans="1:6" x14ac:dyDescent="0.25">
      <c r="E8" s="5" t="s">
        <v>18</v>
      </c>
      <c r="F8" s="5" t="s">
        <v>19</v>
      </c>
    </row>
    <row r="9" spans="1:6" x14ac:dyDescent="0.25">
      <c r="E9" s="5" t="s">
        <v>20</v>
      </c>
      <c r="F9" s="5" t="s">
        <v>21</v>
      </c>
    </row>
    <row r="10" spans="1:6" x14ac:dyDescent="0.25">
      <c r="B10" s="2" t="s">
        <v>112</v>
      </c>
      <c r="E10" s="5" t="s">
        <v>22</v>
      </c>
      <c r="F10" s="5" t="s">
        <v>23</v>
      </c>
    </row>
    <row r="11" spans="1:6" x14ac:dyDescent="0.25">
      <c r="B11" t="s">
        <v>113</v>
      </c>
      <c r="E11" s="5" t="s">
        <v>24</v>
      </c>
      <c r="F11" s="5" t="s">
        <v>25</v>
      </c>
    </row>
    <row r="12" spans="1:6" x14ac:dyDescent="0.25">
      <c r="B12" s="4" t="s">
        <v>111</v>
      </c>
      <c r="E12" s="5" t="s">
        <v>26</v>
      </c>
      <c r="F12" s="5" t="s">
        <v>27</v>
      </c>
    </row>
    <row r="13" spans="1:6" x14ac:dyDescent="0.25">
      <c r="B13" t="s">
        <v>114</v>
      </c>
      <c r="E13" s="5" t="s">
        <v>28</v>
      </c>
      <c r="F13" s="5" t="s">
        <v>29</v>
      </c>
    </row>
    <row r="14" spans="1:6" x14ac:dyDescent="0.25">
      <c r="E14" s="5" t="s">
        <v>30</v>
      </c>
      <c r="F14" s="5" t="s">
        <v>31</v>
      </c>
    </row>
    <row r="15" spans="1:6" x14ac:dyDescent="0.25">
      <c r="E15" s="5" t="s">
        <v>32</v>
      </c>
      <c r="F15" s="5" t="s">
        <v>33</v>
      </c>
    </row>
    <row r="16" spans="1:6" x14ac:dyDescent="0.25">
      <c r="A16" s="1"/>
      <c r="B16" s="2" t="s">
        <v>115</v>
      </c>
      <c r="E16" s="5" t="s">
        <v>34</v>
      </c>
      <c r="F16" s="5" t="s">
        <v>35</v>
      </c>
    </row>
    <row r="17" spans="1:17" x14ac:dyDescent="0.25">
      <c r="B17" t="s">
        <v>116</v>
      </c>
      <c r="E17" s="5" t="s">
        <v>36</v>
      </c>
      <c r="F17" s="5" t="s">
        <v>37</v>
      </c>
    </row>
    <row r="18" spans="1:17" x14ac:dyDescent="0.25">
      <c r="B18" s="4" t="s">
        <v>124</v>
      </c>
      <c r="E18" s="5" t="s">
        <v>38</v>
      </c>
      <c r="F18" s="5" t="s">
        <v>39</v>
      </c>
    </row>
    <row r="19" spans="1:17" x14ac:dyDescent="0.25">
      <c r="B19">
        <v>2026</v>
      </c>
      <c r="E19" s="5" t="s">
        <v>40</v>
      </c>
      <c r="F19" s="5" t="s">
        <v>41</v>
      </c>
    </row>
    <row r="20" spans="1:17" x14ac:dyDescent="0.25">
      <c r="E20" s="5" t="s">
        <v>42</v>
      </c>
      <c r="F20" s="5" t="s">
        <v>43</v>
      </c>
    </row>
    <row r="21" spans="1:17" x14ac:dyDescent="0.25">
      <c r="B21" s="28" t="s">
        <v>66</v>
      </c>
      <c r="E21" s="5" t="s">
        <v>44</v>
      </c>
      <c r="F21" s="5" t="s">
        <v>45</v>
      </c>
    </row>
    <row r="22" spans="1:17" x14ac:dyDescent="0.25">
      <c r="B22" t="s">
        <v>136</v>
      </c>
      <c r="E22" s="5" t="s">
        <v>46</v>
      </c>
      <c r="F22" s="5" t="s">
        <v>47</v>
      </c>
    </row>
    <row r="23" spans="1:17" x14ac:dyDescent="0.25">
      <c r="E23" s="5" t="s">
        <v>48</v>
      </c>
      <c r="F23" s="5" t="s">
        <v>49</v>
      </c>
    </row>
    <row r="24" spans="1:17" x14ac:dyDescent="0.25">
      <c r="E24" s="5" t="s">
        <v>50</v>
      </c>
      <c r="F24" s="5" t="s">
        <v>51</v>
      </c>
    </row>
    <row r="25" spans="1:17" x14ac:dyDescent="0.25">
      <c r="B25" s="3"/>
      <c r="C25" s="3"/>
      <c r="D25" s="3"/>
      <c r="E25" s="5" t="s">
        <v>52</v>
      </c>
      <c r="F25" s="5" t="s">
        <v>53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1" t="s">
        <v>4</v>
      </c>
      <c r="B26" s="3"/>
      <c r="C26" s="3"/>
      <c r="D26" s="3"/>
      <c r="E26" s="5" t="s">
        <v>54</v>
      </c>
      <c r="F26" s="5" t="s">
        <v>55</v>
      </c>
    </row>
    <row r="27" spans="1:17" x14ac:dyDescent="0.25">
      <c r="B27" s="3"/>
      <c r="C27" s="3"/>
      <c r="D27" s="3"/>
      <c r="E27" s="5" t="s">
        <v>56</v>
      </c>
      <c r="F27" s="5" t="s">
        <v>57</v>
      </c>
    </row>
    <row r="28" spans="1:17" x14ac:dyDescent="0.25">
      <c r="A28" t="s">
        <v>135</v>
      </c>
      <c r="E28" s="5" t="s">
        <v>58</v>
      </c>
      <c r="F28" s="5" t="s">
        <v>59</v>
      </c>
    </row>
    <row r="29" spans="1:17" x14ac:dyDescent="0.25">
      <c r="E29" s="5" t="s">
        <v>60</v>
      </c>
      <c r="F29" s="5" t="s">
        <v>61</v>
      </c>
    </row>
    <row r="30" spans="1:17" x14ac:dyDescent="0.25">
      <c r="E30" s="5" t="s">
        <v>62</v>
      </c>
      <c r="F30" s="5" t="s">
        <v>63</v>
      </c>
    </row>
    <row r="31" spans="1:17" x14ac:dyDescent="0.25">
      <c r="E31" s="5" t="s">
        <v>64</v>
      </c>
      <c r="F31" s="5" t="s">
        <v>65</v>
      </c>
    </row>
    <row r="32" spans="1:17" x14ac:dyDescent="0.25">
      <c r="E32" s="5" t="s">
        <v>66</v>
      </c>
      <c r="F32" s="5" t="s">
        <v>67</v>
      </c>
    </row>
    <row r="33" spans="5:6" x14ac:dyDescent="0.25">
      <c r="E33" s="5" t="s">
        <v>68</v>
      </c>
      <c r="F33" s="5" t="s">
        <v>69</v>
      </c>
    </row>
    <row r="34" spans="5:6" x14ac:dyDescent="0.25">
      <c r="E34" s="5" t="s">
        <v>70</v>
      </c>
      <c r="F34" s="5" t="s">
        <v>71</v>
      </c>
    </row>
    <row r="35" spans="5:6" x14ac:dyDescent="0.25">
      <c r="E35" s="5" t="s">
        <v>72</v>
      </c>
      <c r="F35" s="5" t="s">
        <v>73</v>
      </c>
    </row>
    <row r="36" spans="5:6" x14ac:dyDescent="0.25">
      <c r="E36" s="5" t="s">
        <v>74</v>
      </c>
      <c r="F36" s="5" t="s">
        <v>75</v>
      </c>
    </row>
    <row r="37" spans="5:6" x14ac:dyDescent="0.25">
      <c r="E37" s="5" t="s">
        <v>76</v>
      </c>
      <c r="F37" s="5" t="s">
        <v>77</v>
      </c>
    </row>
    <row r="38" spans="5:6" x14ac:dyDescent="0.25">
      <c r="E38" s="5" t="s">
        <v>78</v>
      </c>
      <c r="F38" s="5" t="s">
        <v>79</v>
      </c>
    </row>
    <row r="39" spans="5:6" x14ac:dyDescent="0.25">
      <c r="E39" s="5" t="s">
        <v>80</v>
      </c>
      <c r="F39" s="5" t="s">
        <v>81</v>
      </c>
    </row>
    <row r="40" spans="5:6" x14ac:dyDescent="0.25">
      <c r="E40" s="5" t="s">
        <v>82</v>
      </c>
      <c r="F40" s="5" t="s">
        <v>83</v>
      </c>
    </row>
    <row r="41" spans="5:6" x14ac:dyDescent="0.25">
      <c r="E41" s="5" t="s">
        <v>84</v>
      </c>
      <c r="F41" s="5" t="s">
        <v>85</v>
      </c>
    </row>
    <row r="42" spans="5:6" x14ac:dyDescent="0.25">
      <c r="E42" s="5" t="s">
        <v>86</v>
      </c>
      <c r="F42" s="5" t="s">
        <v>87</v>
      </c>
    </row>
    <row r="43" spans="5:6" x14ac:dyDescent="0.25">
      <c r="E43" s="5" t="s">
        <v>88</v>
      </c>
      <c r="F43" s="5" t="s">
        <v>89</v>
      </c>
    </row>
    <row r="44" spans="5:6" x14ac:dyDescent="0.25">
      <c r="E44" s="5" t="s">
        <v>90</v>
      </c>
      <c r="F44" s="5" t="s">
        <v>91</v>
      </c>
    </row>
    <row r="45" spans="5:6" x14ac:dyDescent="0.25">
      <c r="E45" s="5" t="s">
        <v>92</v>
      </c>
      <c r="F45" s="5" t="s">
        <v>93</v>
      </c>
    </row>
    <row r="46" spans="5:6" x14ac:dyDescent="0.25">
      <c r="E46" s="5" t="s">
        <v>94</v>
      </c>
      <c r="F46" s="5" t="s">
        <v>95</v>
      </c>
    </row>
    <row r="47" spans="5:6" x14ac:dyDescent="0.25">
      <c r="E47" s="5" t="s">
        <v>96</v>
      </c>
      <c r="F47" s="5" t="s">
        <v>97</v>
      </c>
    </row>
    <row r="48" spans="5:6" x14ac:dyDescent="0.25">
      <c r="E48" s="5" t="s">
        <v>98</v>
      </c>
      <c r="F48" s="5" t="s">
        <v>99</v>
      </c>
    </row>
    <row r="49" spans="5:6" x14ac:dyDescent="0.25">
      <c r="E49" s="5" t="s">
        <v>100</v>
      </c>
      <c r="F49" s="5" t="s">
        <v>101</v>
      </c>
    </row>
    <row r="50" spans="5:6" x14ac:dyDescent="0.25">
      <c r="E50" s="5" t="s">
        <v>102</v>
      </c>
      <c r="F50" s="5" t="s">
        <v>103</v>
      </c>
    </row>
    <row r="51" spans="5:6" x14ac:dyDescent="0.25">
      <c r="E51" s="5" t="s">
        <v>104</v>
      </c>
      <c r="F51" s="5" t="s">
        <v>105</v>
      </c>
    </row>
  </sheetData>
  <hyperlinks>
    <hyperlink ref="B12" r:id="rId1" xr:uid="{4433714A-5DC6-A046-80C4-E721A65849C8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345DB-5104-4418-B999-526D8ADFEBDA}">
  <dimension ref="A1:AJ56"/>
  <sheetViews>
    <sheetView topLeftCell="A27" workbookViewId="0">
      <selection activeCell="E12" sqref="E12"/>
    </sheetView>
  </sheetViews>
  <sheetFormatPr defaultColWidth="8.85546875" defaultRowHeight="15" x14ac:dyDescent="0.25"/>
  <cols>
    <col min="4" max="4" width="12.7109375" style="20" customWidth="1"/>
  </cols>
  <sheetData>
    <row r="1" spans="1:36" x14ac:dyDescent="0.25">
      <c r="A1" s="12" t="s">
        <v>109</v>
      </c>
      <c r="B1" s="8"/>
      <c r="C1" s="8"/>
      <c r="D1" s="19"/>
    </row>
    <row r="2" spans="1:36" x14ac:dyDescent="0.25">
      <c r="A2" s="9"/>
      <c r="G2" s="7" t="s">
        <v>6</v>
      </c>
      <c r="H2" s="7" t="s">
        <v>6</v>
      </c>
      <c r="I2" t="s">
        <v>106</v>
      </c>
      <c r="J2">
        <v>2024</v>
      </c>
      <c r="K2">
        <v>2025</v>
      </c>
      <c r="L2">
        <v>2026</v>
      </c>
      <c r="M2">
        <v>2027</v>
      </c>
      <c r="N2">
        <v>2028</v>
      </c>
      <c r="O2">
        <v>2029</v>
      </c>
      <c r="P2">
        <v>2030</v>
      </c>
      <c r="Q2">
        <v>2031</v>
      </c>
      <c r="R2">
        <v>2032</v>
      </c>
      <c r="S2">
        <v>2033</v>
      </c>
      <c r="T2">
        <v>2034</v>
      </c>
      <c r="U2">
        <v>2035</v>
      </c>
      <c r="V2">
        <v>2036</v>
      </c>
      <c r="W2">
        <v>2037</v>
      </c>
      <c r="X2">
        <v>2038</v>
      </c>
      <c r="Y2">
        <v>2039</v>
      </c>
      <c r="Z2">
        <v>2040</v>
      </c>
      <c r="AA2">
        <v>2041</v>
      </c>
      <c r="AB2">
        <v>2042</v>
      </c>
      <c r="AC2">
        <v>2043</v>
      </c>
      <c r="AD2">
        <v>2044</v>
      </c>
      <c r="AE2">
        <v>2045</v>
      </c>
      <c r="AF2">
        <v>2046</v>
      </c>
      <c r="AG2">
        <v>2047</v>
      </c>
      <c r="AH2">
        <v>2048</v>
      </c>
      <c r="AI2">
        <v>2049</v>
      </c>
      <c r="AJ2">
        <v>2050</v>
      </c>
    </row>
    <row r="3" spans="1:36" x14ac:dyDescent="0.25">
      <c r="A3" s="17" t="s">
        <v>121</v>
      </c>
      <c r="B3" t="s">
        <v>122</v>
      </c>
      <c r="G3" s="5" t="s">
        <v>7</v>
      </c>
      <c r="H3" s="5" t="s">
        <v>8</v>
      </c>
      <c r="I3" t="s">
        <v>107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s="9"/>
      <c r="B4">
        <v>2020</v>
      </c>
      <c r="C4">
        <v>2030</v>
      </c>
      <c r="D4" s="20">
        <v>2045</v>
      </c>
      <c r="G4" s="5" t="s">
        <v>9</v>
      </c>
      <c r="H4" s="5" t="s">
        <v>10</v>
      </c>
      <c r="I4" t="s">
        <v>107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s="9" t="s">
        <v>123</v>
      </c>
      <c r="B5" s="18">
        <v>0.1</v>
      </c>
      <c r="C5" s="18">
        <v>0.3</v>
      </c>
      <c r="D5" s="21">
        <v>0.9</v>
      </c>
      <c r="G5" s="5" t="s">
        <v>11</v>
      </c>
      <c r="H5" s="5" t="s">
        <v>12</v>
      </c>
      <c r="I5" t="s">
        <v>107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s="9"/>
      <c r="G6" s="5" t="s">
        <v>13</v>
      </c>
      <c r="H6" s="5" t="s">
        <v>14</v>
      </c>
      <c r="I6" t="s">
        <v>107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s="9"/>
      <c r="G7" s="5" t="s">
        <v>15</v>
      </c>
      <c r="H7" s="5" t="s">
        <v>16</v>
      </c>
      <c r="I7" t="s">
        <v>108</v>
      </c>
      <c r="J7" s="14">
        <f>_xlfn.FORECAST.ETS(J2,$B$5:$C$5,$B$4:$C$4)</f>
        <v>0.17999999999999997</v>
      </c>
      <c r="K7" s="14">
        <f t="shared" ref="K7:P7" si="0">_xlfn.FORECAST.ETS(K2,$B$5:$C$5,$B$4:$C$4)</f>
        <v>0.19999999999999993</v>
      </c>
      <c r="L7" s="14">
        <f t="shared" si="0"/>
        <v>0.21999999999999989</v>
      </c>
      <c r="M7" s="14">
        <f t="shared" si="0"/>
        <v>0.23999999999999988</v>
      </c>
      <c r="N7" s="14">
        <f t="shared" si="0"/>
        <v>0.25999999999999984</v>
      </c>
      <c r="O7" s="14">
        <f t="shared" si="0"/>
        <v>0.2799999999999998</v>
      </c>
      <c r="P7" s="14">
        <f t="shared" si="0"/>
        <v>0.29999999999999977</v>
      </c>
      <c r="Q7" s="14">
        <f>_xlfn.FORECAST.ETS(Q2,$C$5:$D$5,$C$4:$D$4)</f>
        <v>0.34000000000000008</v>
      </c>
      <c r="R7" s="14">
        <f t="shared" ref="R7:AE7" si="1">_xlfn.FORECAST.ETS(R2,$C$5:$D$5,$C$4:$D$4)</f>
        <v>0.38000000000000012</v>
      </c>
      <c r="S7" s="14">
        <f t="shared" si="1"/>
        <v>0.42000000000000015</v>
      </c>
      <c r="T7" s="14">
        <f t="shared" si="1"/>
        <v>0.46000000000000024</v>
      </c>
      <c r="U7" s="14">
        <f t="shared" si="1"/>
        <v>0.50000000000000022</v>
      </c>
      <c r="V7" s="14">
        <f t="shared" si="1"/>
        <v>0.54000000000000026</v>
      </c>
      <c r="W7" s="14">
        <f t="shared" si="1"/>
        <v>0.58000000000000029</v>
      </c>
      <c r="X7" s="14">
        <f t="shared" si="1"/>
        <v>0.62000000000000033</v>
      </c>
      <c r="Y7" s="14">
        <f t="shared" si="1"/>
        <v>0.66000000000000036</v>
      </c>
      <c r="Z7" s="14">
        <f t="shared" si="1"/>
        <v>0.7000000000000004</v>
      </c>
      <c r="AA7" s="14">
        <f t="shared" si="1"/>
        <v>0.74000000000000044</v>
      </c>
      <c r="AB7" s="14">
        <f t="shared" si="1"/>
        <v>0.78000000000000047</v>
      </c>
      <c r="AC7" s="14">
        <f t="shared" si="1"/>
        <v>0.82000000000000051</v>
      </c>
      <c r="AD7" s="14">
        <f t="shared" si="1"/>
        <v>0.86000000000000054</v>
      </c>
      <c r="AE7" s="14">
        <f t="shared" si="1"/>
        <v>0.90000000000000058</v>
      </c>
      <c r="AF7">
        <f t="shared" ref="AF7:AJ7" si="2">AE7</f>
        <v>0.90000000000000058</v>
      </c>
      <c r="AG7">
        <f t="shared" si="2"/>
        <v>0.90000000000000058</v>
      </c>
      <c r="AH7">
        <f t="shared" si="2"/>
        <v>0.90000000000000058</v>
      </c>
      <c r="AI7">
        <f t="shared" si="2"/>
        <v>0.90000000000000058</v>
      </c>
      <c r="AJ7">
        <f t="shared" si="2"/>
        <v>0.90000000000000058</v>
      </c>
    </row>
    <row r="8" spans="1:36" x14ac:dyDescent="0.25">
      <c r="A8" s="9"/>
      <c r="G8" s="5" t="s">
        <v>5</v>
      </c>
      <c r="H8" s="5" t="s">
        <v>17</v>
      </c>
      <c r="I8" t="s">
        <v>107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s="9"/>
      <c r="G9" s="5" t="s">
        <v>18</v>
      </c>
      <c r="H9" s="5" t="s">
        <v>19</v>
      </c>
      <c r="I9" t="s">
        <v>107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s="9"/>
      <c r="G10" s="5" t="s">
        <v>20</v>
      </c>
      <c r="H10" s="5" t="s">
        <v>21</v>
      </c>
      <c r="I10" t="s">
        <v>107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s="9"/>
      <c r="G11" s="5" t="s">
        <v>22</v>
      </c>
      <c r="H11" s="5" t="s">
        <v>23</v>
      </c>
      <c r="I11" t="s">
        <v>107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 spans="1:36" x14ac:dyDescent="0.25">
      <c r="A12" s="9"/>
      <c r="G12" s="5" t="s">
        <v>24</v>
      </c>
      <c r="H12" s="5" t="s">
        <v>25</v>
      </c>
      <c r="I12" t="s">
        <v>107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</row>
    <row r="13" spans="1:36" x14ac:dyDescent="0.25">
      <c r="A13" s="9"/>
      <c r="G13" s="5" t="s">
        <v>26</v>
      </c>
      <c r="H13" s="5" t="s">
        <v>27</v>
      </c>
      <c r="I13" t="s">
        <v>107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</row>
    <row r="14" spans="1:36" x14ac:dyDescent="0.25">
      <c r="A14" s="9"/>
      <c r="G14" s="5" t="s">
        <v>28</v>
      </c>
      <c r="H14" s="5" t="s">
        <v>29</v>
      </c>
      <c r="I14" t="s">
        <v>107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 x14ac:dyDescent="0.25">
      <c r="A15" s="9"/>
      <c r="G15" s="5" t="s">
        <v>30</v>
      </c>
      <c r="H15" s="5" t="s">
        <v>31</v>
      </c>
      <c r="I15" t="s">
        <v>107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 x14ac:dyDescent="0.25">
      <c r="A16" s="9"/>
      <c r="G16" s="5" t="s">
        <v>32</v>
      </c>
      <c r="H16" s="5" t="s">
        <v>33</v>
      </c>
      <c r="I16" t="s">
        <v>107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 x14ac:dyDescent="0.25">
      <c r="A17" s="9"/>
      <c r="G17" s="5" t="s">
        <v>34</v>
      </c>
      <c r="H17" s="5" t="s">
        <v>35</v>
      </c>
      <c r="I17" t="s">
        <v>107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 x14ac:dyDescent="0.25">
      <c r="A18" s="9"/>
      <c r="G18" s="5" t="s">
        <v>36</v>
      </c>
      <c r="H18" s="5" t="s">
        <v>37</v>
      </c>
      <c r="I18" t="s">
        <v>107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1:36" x14ac:dyDescent="0.25">
      <c r="A19" s="9"/>
      <c r="G19" s="5" t="s">
        <v>38</v>
      </c>
      <c r="H19" s="5" t="s">
        <v>39</v>
      </c>
      <c r="I19" t="s">
        <v>107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 x14ac:dyDescent="0.25">
      <c r="A20" s="9"/>
      <c r="G20" s="5" t="s">
        <v>40</v>
      </c>
      <c r="H20" s="5" t="s">
        <v>41</v>
      </c>
      <c r="I20" t="s">
        <v>107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 x14ac:dyDescent="0.25">
      <c r="A21" s="9"/>
      <c r="G21" s="5" t="s">
        <v>42</v>
      </c>
      <c r="H21" s="5" t="s">
        <v>43</v>
      </c>
      <c r="I21" t="s">
        <v>107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</row>
    <row r="22" spans="1:36" x14ac:dyDescent="0.25">
      <c r="A22" s="9"/>
      <c r="G22" s="5" t="s">
        <v>44</v>
      </c>
      <c r="H22" s="5" t="s">
        <v>45</v>
      </c>
      <c r="I22" t="s">
        <v>107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 x14ac:dyDescent="0.25">
      <c r="A23" s="9"/>
      <c r="G23" s="5" t="s">
        <v>46</v>
      </c>
      <c r="H23" s="5" t="s">
        <v>47</v>
      </c>
      <c r="I23" t="s">
        <v>107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 ht="15.75" thickBot="1" x14ac:dyDescent="0.3">
      <c r="A24" s="10"/>
      <c r="B24" s="11"/>
      <c r="C24" s="11"/>
      <c r="D24" s="22"/>
      <c r="G24" s="5" t="s">
        <v>48</v>
      </c>
      <c r="H24" s="5" t="s">
        <v>49</v>
      </c>
      <c r="I24" t="s">
        <v>107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 x14ac:dyDescent="0.25">
      <c r="G25" s="5" t="s">
        <v>50</v>
      </c>
      <c r="H25" s="5" t="s">
        <v>51</v>
      </c>
      <c r="I25" t="s">
        <v>107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ht="15.75" thickBot="1" x14ac:dyDescent="0.3">
      <c r="G26" s="5" t="s">
        <v>52</v>
      </c>
      <c r="H26" s="5" t="s">
        <v>53</v>
      </c>
      <c r="I26" t="s">
        <v>107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 x14ac:dyDescent="0.25">
      <c r="A27" s="12" t="s">
        <v>110</v>
      </c>
      <c r="B27" s="8"/>
      <c r="C27" s="8"/>
      <c r="D27" s="19"/>
      <c r="G27" s="5" t="s">
        <v>54</v>
      </c>
      <c r="H27" s="5" t="s">
        <v>55</v>
      </c>
      <c r="I27" t="s">
        <v>107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 x14ac:dyDescent="0.25">
      <c r="A28" s="9"/>
      <c r="G28" s="5" t="s">
        <v>56</v>
      </c>
      <c r="H28" s="5" t="s">
        <v>57</v>
      </c>
      <c r="I28" t="s">
        <v>107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 x14ac:dyDescent="0.25">
      <c r="A29">
        <v>2025</v>
      </c>
      <c r="B29">
        <v>2026</v>
      </c>
      <c r="C29">
        <v>2027</v>
      </c>
      <c r="D29" s="20">
        <v>2038</v>
      </c>
      <c r="G29" s="5" t="s">
        <v>58</v>
      </c>
      <c r="H29" s="5" t="s">
        <v>59</v>
      </c>
      <c r="I29" t="s">
        <v>107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 x14ac:dyDescent="0.25">
      <c r="A30" s="18">
        <v>0.02</v>
      </c>
      <c r="B30" s="18">
        <v>7.0000000000000007E-2</v>
      </c>
      <c r="C30" s="18">
        <v>0.11</v>
      </c>
      <c r="D30" s="21">
        <v>0.45</v>
      </c>
      <c r="G30" s="5" t="s">
        <v>60</v>
      </c>
      <c r="H30" s="5" t="s">
        <v>61</v>
      </c>
      <c r="I30" t="s">
        <v>107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1:36" x14ac:dyDescent="0.25">
      <c r="A31" s="9"/>
      <c r="B31" s="18"/>
      <c r="G31" s="5" t="s">
        <v>62</v>
      </c>
      <c r="H31" s="5" t="s">
        <v>63</v>
      </c>
      <c r="I31" t="s">
        <v>107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 x14ac:dyDescent="0.25">
      <c r="A32" s="9"/>
      <c r="B32" s="18"/>
      <c r="G32" s="5" t="s">
        <v>64</v>
      </c>
      <c r="H32" s="5" t="s">
        <v>65</v>
      </c>
      <c r="I32" t="s">
        <v>107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 x14ac:dyDescent="0.25">
      <c r="A33" s="9"/>
      <c r="G33" s="5" t="s">
        <v>66</v>
      </c>
      <c r="H33" s="5" t="s">
        <v>67</v>
      </c>
      <c r="I33" t="s">
        <v>107</v>
      </c>
      <c r="J33" s="15">
        <f>_xlfn.FORECAST.ETS(J2,$A$56:$B$56,$A$55:$B$55)</f>
        <v>8.6000000000000007E-2</v>
      </c>
      <c r="K33" s="15">
        <f t="shared" ref="K33:P33" si="3">_xlfn.FORECAST.ETS(K2,$A$56:$B$56,$A$55:$B$55)</f>
        <v>0.105</v>
      </c>
      <c r="L33" s="15">
        <f t="shared" si="3"/>
        <v>0.12399999999999999</v>
      </c>
      <c r="M33" s="15">
        <f t="shared" si="3"/>
        <v>0.14299999999999999</v>
      </c>
      <c r="N33" s="15">
        <f t="shared" si="3"/>
        <v>0.16199999999999998</v>
      </c>
      <c r="O33" s="15">
        <f t="shared" si="3"/>
        <v>0.18099999999999999</v>
      </c>
      <c r="P33" s="15">
        <f t="shared" si="3"/>
        <v>0.19999999999999998</v>
      </c>
      <c r="Q33" s="15">
        <f>_xlfn.FORECAST.ETS(Q2,$B$56:$C$56,$B$55:$C$55)</f>
        <v>0.21000000000000002</v>
      </c>
      <c r="R33" s="15">
        <f t="shared" ref="R33:Z33" si="4">_xlfn.FORECAST.ETS(R2,$B$56:$C$56,$B$55:$C$55)</f>
        <v>0.22000000000000003</v>
      </c>
      <c r="S33" s="15">
        <f t="shared" si="4"/>
        <v>0.23000000000000004</v>
      </c>
      <c r="T33" s="15">
        <f t="shared" si="4"/>
        <v>0.24000000000000005</v>
      </c>
      <c r="U33" s="15">
        <f t="shared" si="4"/>
        <v>0.25000000000000006</v>
      </c>
      <c r="V33" s="15">
        <f t="shared" si="4"/>
        <v>0.26000000000000006</v>
      </c>
      <c r="W33" s="15">
        <f t="shared" si="4"/>
        <v>0.27000000000000007</v>
      </c>
      <c r="X33" s="15">
        <f t="shared" si="4"/>
        <v>0.28000000000000008</v>
      </c>
      <c r="Y33" s="15">
        <f t="shared" si="4"/>
        <v>0.29000000000000009</v>
      </c>
      <c r="Z33" s="15">
        <f t="shared" si="4"/>
        <v>0.3000000000000001</v>
      </c>
      <c r="AA33">
        <f>Z33</f>
        <v>0.3000000000000001</v>
      </c>
      <c r="AB33">
        <f t="shared" ref="AB33:AJ33" si="5">AA33</f>
        <v>0.3000000000000001</v>
      </c>
      <c r="AC33">
        <f t="shared" si="5"/>
        <v>0.3000000000000001</v>
      </c>
      <c r="AD33">
        <f t="shared" si="5"/>
        <v>0.3000000000000001</v>
      </c>
      <c r="AE33">
        <f t="shared" si="5"/>
        <v>0.3000000000000001</v>
      </c>
      <c r="AF33">
        <f t="shared" si="5"/>
        <v>0.3000000000000001</v>
      </c>
      <c r="AG33">
        <f t="shared" si="5"/>
        <v>0.3000000000000001</v>
      </c>
      <c r="AH33">
        <f t="shared" si="5"/>
        <v>0.3000000000000001</v>
      </c>
      <c r="AI33">
        <f t="shared" si="5"/>
        <v>0.3000000000000001</v>
      </c>
      <c r="AJ33">
        <f t="shared" si="5"/>
        <v>0.3000000000000001</v>
      </c>
    </row>
    <row r="34" spans="1:36" x14ac:dyDescent="0.25">
      <c r="G34" s="5" t="s">
        <v>68</v>
      </c>
      <c r="H34" s="5" t="s">
        <v>69</v>
      </c>
      <c r="I34" t="s">
        <v>107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 x14ac:dyDescent="0.25">
      <c r="G35" s="5" t="s">
        <v>70</v>
      </c>
      <c r="H35" s="5" t="s">
        <v>71</v>
      </c>
      <c r="I35" t="s">
        <v>107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 x14ac:dyDescent="0.25">
      <c r="A36" s="9"/>
      <c r="G36" s="5" t="s">
        <v>72</v>
      </c>
      <c r="H36" s="5" t="s">
        <v>73</v>
      </c>
      <c r="I36" t="s">
        <v>107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36" x14ac:dyDescent="0.25">
      <c r="A37" s="9"/>
      <c r="G37" s="5" t="s">
        <v>74</v>
      </c>
      <c r="H37" s="5" t="s">
        <v>75</v>
      </c>
      <c r="I37" t="s">
        <v>107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1:36" x14ac:dyDescent="0.25">
      <c r="A38" s="9"/>
      <c r="G38" s="5" t="s">
        <v>76</v>
      </c>
      <c r="H38" s="5" t="s">
        <v>77</v>
      </c>
      <c r="I38" t="s">
        <v>107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 x14ac:dyDescent="0.25">
      <c r="A39" s="9"/>
      <c r="G39" s="5" t="s">
        <v>78</v>
      </c>
      <c r="H39" s="5" t="s">
        <v>79</v>
      </c>
      <c r="I39" t="s">
        <v>108</v>
      </c>
      <c r="J39" s="16">
        <f>_xlfn.FORECAST.ETS(J2,$A$49:$B$49,$A$48:$B$48)</f>
        <v>0.11</v>
      </c>
      <c r="K39" s="16">
        <f t="shared" ref="K39:P39" si="6">_xlfn.FORECAST.ETS(K2,$A$49:$B$49,$A$48:$B$48)</f>
        <v>0.125</v>
      </c>
      <c r="L39" s="16">
        <f t="shared" si="6"/>
        <v>0.14000000000000001</v>
      </c>
      <c r="M39" s="16">
        <f t="shared" si="6"/>
        <v>0.155</v>
      </c>
      <c r="N39" s="16">
        <f t="shared" si="6"/>
        <v>0.17</v>
      </c>
      <c r="O39" s="16">
        <f t="shared" si="6"/>
        <v>0.185</v>
      </c>
      <c r="P39" s="16">
        <f t="shared" si="6"/>
        <v>0.2</v>
      </c>
      <c r="Q39" s="16">
        <f>_xlfn.FORECAST.ETS(Q2,$B$49:$C$49,$B$48:$C$48)</f>
        <v>0.23400000000000001</v>
      </c>
      <c r="R39" s="16">
        <f t="shared" ref="R39:U39" si="7">_xlfn.FORECAST.ETS(R2,$B$49:$C$49,$B$48:$C$48)</f>
        <v>0.26799999999999996</v>
      </c>
      <c r="S39" s="16">
        <f t="shared" si="7"/>
        <v>0.30199999999999988</v>
      </c>
      <c r="T39" s="16">
        <f t="shared" si="7"/>
        <v>0.33599999999999985</v>
      </c>
      <c r="U39" s="16">
        <f t="shared" si="7"/>
        <v>0.36999999999999977</v>
      </c>
      <c r="V39">
        <f>U39</f>
        <v>0.36999999999999977</v>
      </c>
      <c r="W39">
        <f t="shared" ref="W39:AJ39" si="8">V39</f>
        <v>0.36999999999999977</v>
      </c>
      <c r="X39">
        <f t="shared" si="8"/>
        <v>0.36999999999999977</v>
      </c>
      <c r="Y39">
        <f t="shared" si="8"/>
        <v>0.36999999999999977</v>
      </c>
      <c r="Z39">
        <f t="shared" si="8"/>
        <v>0.36999999999999977</v>
      </c>
      <c r="AA39">
        <f t="shared" si="8"/>
        <v>0.36999999999999977</v>
      </c>
      <c r="AB39">
        <f t="shared" si="8"/>
        <v>0.36999999999999977</v>
      </c>
      <c r="AC39">
        <f t="shared" si="8"/>
        <v>0.36999999999999977</v>
      </c>
      <c r="AD39">
        <f t="shared" si="8"/>
        <v>0.36999999999999977</v>
      </c>
      <c r="AE39">
        <f t="shared" si="8"/>
        <v>0.36999999999999977</v>
      </c>
      <c r="AF39">
        <f t="shared" si="8"/>
        <v>0.36999999999999977</v>
      </c>
      <c r="AG39">
        <f t="shared" si="8"/>
        <v>0.36999999999999977</v>
      </c>
      <c r="AH39">
        <f t="shared" si="8"/>
        <v>0.36999999999999977</v>
      </c>
      <c r="AI39">
        <f t="shared" si="8"/>
        <v>0.36999999999999977</v>
      </c>
      <c r="AJ39">
        <f t="shared" si="8"/>
        <v>0.36999999999999977</v>
      </c>
    </row>
    <row r="40" spans="1:36" x14ac:dyDescent="0.25">
      <c r="A40" s="9"/>
      <c r="G40" s="5" t="s">
        <v>80</v>
      </c>
      <c r="H40" s="5" t="s">
        <v>81</v>
      </c>
      <c r="I40" t="s">
        <v>107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1:36" x14ac:dyDescent="0.25">
      <c r="A41" s="9"/>
      <c r="G41" s="5" t="s">
        <v>82</v>
      </c>
      <c r="H41" s="5" t="s">
        <v>83</v>
      </c>
      <c r="I41" t="s">
        <v>107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 x14ac:dyDescent="0.25">
      <c r="A42" s="9"/>
      <c r="G42" s="5" t="s">
        <v>84</v>
      </c>
      <c r="H42" s="5" t="s">
        <v>85</v>
      </c>
      <c r="I42" t="s">
        <v>107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1:36" ht="15.75" thickBot="1" x14ac:dyDescent="0.3">
      <c r="A43" s="10"/>
      <c r="B43" s="11"/>
      <c r="C43" s="11"/>
      <c r="D43" s="22"/>
      <c r="G43" s="5" t="s">
        <v>86</v>
      </c>
      <c r="H43" s="5" t="s">
        <v>87</v>
      </c>
      <c r="I43" t="s">
        <v>107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</row>
    <row r="44" spans="1:36" x14ac:dyDescent="0.25">
      <c r="G44" s="5" t="s">
        <v>88</v>
      </c>
      <c r="H44" s="5" t="s">
        <v>89</v>
      </c>
      <c r="I44" t="s">
        <v>107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36" x14ac:dyDescent="0.25">
      <c r="G45" s="5" t="s">
        <v>90</v>
      </c>
      <c r="H45" s="5" t="s">
        <v>91</v>
      </c>
      <c r="I45" t="s">
        <v>107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1:36" x14ac:dyDescent="0.25">
      <c r="A46" s="1" t="s">
        <v>117</v>
      </c>
      <c r="G46" s="5" t="s">
        <v>92</v>
      </c>
      <c r="H46" s="5" t="s">
        <v>93</v>
      </c>
      <c r="I46" t="s">
        <v>107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</row>
    <row r="47" spans="1:36" x14ac:dyDescent="0.25">
      <c r="G47" s="5" t="s">
        <v>94</v>
      </c>
      <c r="H47" s="5" t="s">
        <v>95</v>
      </c>
      <c r="I47" t="s">
        <v>107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 x14ac:dyDescent="0.25">
      <c r="A48">
        <v>2020</v>
      </c>
      <c r="B48">
        <v>2030</v>
      </c>
      <c r="C48">
        <v>2035</v>
      </c>
      <c r="G48" s="5" t="s">
        <v>96</v>
      </c>
      <c r="H48" s="5" t="s">
        <v>97</v>
      </c>
      <c r="I48" t="s">
        <v>107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</row>
    <row r="49" spans="1:36" x14ac:dyDescent="0.25">
      <c r="A49" s="18">
        <v>0.05</v>
      </c>
      <c r="B49" s="18">
        <v>0.2</v>
      </c>
      <c r="C49" s="18">
        <v>0.37</v>
      </c>
      <c r="G49" s="5" t="s">
        <v>98</v>
      </c>
      <c r="H49" s="5" t="s">
        <v>99</v>
      </c>
      <c r="I49" t="s">
        <v>108</v>
      </c>
      <c r="J49" s="13">
        <v>0</v>
      </c>
      <c r="K49" s="13">
        <f>A30</f>
        <v>0.02</v>
      </c>
      <c r="L49" s="13">
        <f t="shared" ref="L49:M49" si="9">B30</f>
        <v>7.0000000000000007E-2</v>
      </c>
      <c r="M49" s="13">
        <f t="shared" si="9"/>
        <v>0.11</v>
      </c>
      <c r="N49" s="13">
        <f>_xlfn.FORECAST.ETS(N2,$C$30:$D$30,$C$29:$D$29)</f>
        <v>0.14090909090909121</v>
      </c>
      <c r="O49" s="13">
        <f t="shared" ref="O49:X49" si="10">_xlfn.FORECAST.ETS(O2,$C$30:$D$30,$C$29:$D$29)</f>
        <v>0.17181818181818209</v>
      </c>
      <c r="P49" s="13">
        <f t="shared" si="10"/>
        <v>0.20272727272727295</v>
      </c>
      <c r="Q49" s="13">
        <f t="shared" si="10"/>
        <v>0.23363636363636384</v>
      </c>
      <c r="R49" s="13">
        <f t="shared" si="10"/>
        <v>0.26454545454545475</v>
      </c>
      <c r="S49" s="13">
        <f t="shared" si="10"/>
        <v>0.29545454545454564</v>
      </c>
      <c r="T49" s="13">
        <f t="shared" si="10"/>
        <v>0.32636363636363647</v>
      </c>
      <c r="U49" s="13">
        <f t="shared" si="10"/>
        <v>0.35727272727272741</v>
      </c>
      <c r="V49" s="13">
        <f t="shared" si="10"/>
        <v>0.38818181818181824</v>
      </c>
      <c r="W49" s="13">
        <f t="shared" si="10"/>
        <v>0.41909090909090913</v>
      </c>
      <c r="X49" s="13">
        <f t="shared" si="10"/>
        <v>0.45</v>
      </c>
      <c r="Y49">
        <f t="shared" ref="Y49" si="11">X49</f>
        <v>0.45</v>
      </c>
      <c r="Z49">
        <f t="shared" ref="Z49" si="12">Y49</f>
        <v>0.45</v>
      </c>
      <c r="AA49">
        <f t="shared" ref="AA49" si="13">Z49</f>
        <v>0.45</v>
      </c>
      <c r="AB49">
        <f t="shared" ref="AB49" si="14">AA49</f>
        <v>0.45</v>
      </c>
      <c r="AC49">
        <f t="shared" ref="AC49" si="15">AB49</f>
        <v>0.45</v>
      </c>
      <c r="AD49">
        <f t="shared" ref="AD49" si="16">AC49</f>
        <v>0.45</v>
      </c>
      <c r="AE49">
        <f t="shared" ref="AE49" si="17">AD49</f>
        <v>0.45</v>
      </c>
      <c r="AF49">
        <f t="shared" ref="AF49" si="18">AE49</f>
        <v>0.45</v>
      </c>
      <c r="AG49">
        <f t="shared" ref="AG49" si="19">AF49</f>
        <v>0.45</v>
      </c>
      <c r="AH49">
        <f t="shared" ref="AH49" si="20">AG49</f>
        <v>0.45</v>
      </c>
      <c r="AI49">
        <f t="shared" ref="AI49" si="21">AH49</f>
        <v>0.45</v>
      </c>
      <c r="AJ49">
        <f t="shared" ref="AJ49" si="22">AI49</f>
        <v>0.45</v>
      </c>
    </row>
    <row r="50" spans="1:36" x14ac:dyDescent="0.25">
      <c r="G50" s="5" t="s">
        <v>100</v>
      </c>
      <c r="H50" s="5" t="s">
        <v>101</v>
      </c>
      <c r="I50" t="s">
        <v>107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 x14ac:dyDescent="0.25">
      <c r="G51" s="5" t="s">
        <v>102</v>
      </c>
      <c r="H51" s="5" t="s">
        <v>103</v>
      </c>
      <c r="I51" t="s">
        <v>107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</row>
    <row r="52" spans="1:36" x14ac:dyDescent="0.25">
      <c r="G52" s="5" t="s">
        <v>104</v>
      </c>
      <c r="H52" s="5" t="s">
        <v>105</v>
      </c>
      <c r="I52" t="s">
        <v>107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</row>
    <row r="53" spans="1:36" x14ac:dyDescent="0.25">
      <c r="A53" s="1" t="s">
        <v>66</v>
      </c>
    </row>
    <row r="55" spans="1:36" x14ac:dyDescent="0.25">
      <c r="A55">
        <v>2020</v>
      </c>
      <c r="B55">
        <v>2030</v>
      </c>
      <c r="C55">
        <v>2040</v>
      </c>
    </row>
    <row r="56" spans="1:36" x14ac:dyDescent="0.25">
      <c r="A56" s="18">
        <v>0.01</v>
      </c>
      <c r="B56" s="18">
        <v>0.2</v>
      </c>
      <c r="C56" s="18">
        <v>0.3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DE866-742D-4D9C-B5FD-88FE1802E6CA}">
  <dimension ref="A1:E5"/>
  <sheetViews>
    <sheetView workbookViewId="0">
      <selection activeCell="A4" sqref="A4"/>
    </sheetView>
  </sheetViews>
  <sheetFormatPr defaultRowHeight="15" x14ac:dyDescent="0.25"/>
  <sheetData>
    <row r="1" spans="1:5" ht="126.75" thickBot="1" x14ac:dyDescent="0.3">
      <c r="A1" s="23" t="s">
        <v>125</v>
      </c>
      <c r="B1" s="24" t="s">
        <v>126</v>
      </c>
      <c r="C1" s="24" t="s">
        <v>127</v>
      </c>
      <c r="D1" s="24" t="s">
        <v>128</v>
      </c>
      <c r="E1" s="24" t="s">
        <v>129</v>
      </c>
    </row>
    <row r="2" spans="1:5" ht="15.75" thickBot="1" x14ac:dyDescent="0.3">
      <c r="A2" s="25">
        <v>2025</v>
      </c>
      <c r="B2" s="26">
        <v>0.01</v>
      </c>
      <c r="C2" s="26">
        <v>0.02</v>
      </c>
      <c r="D2" s="27">
        <v>96.95</v>
      </c>
      <c r="E2" s="27">
        <v>98.11</v>
      </c>
    </row>
    <row r="3" spans="1:5" ht="15.75" thickBot="1" x14ac:dyDescent="0.3">
      <c r="A3" s="25">
        <v>2026</v>
      </c>
      <c r="B3" s="26">
        <v>0.05</v>
      </c>
      <c r="C3" s="26">
        <v>7.0000000000000007E-2</v>
      </c>
      <c r="D3" s="27">
        <v>92</v>
      </c>
      <c r="E3" s="27">
        <v>93.1</v>
      </c>
    </row>
    <row r="4" spans="1:5" ht="15.75" thickBot="1" x14ac:dyDescent="0.3">
      <c r="A4" s="25">
        <v>2027</v>
      </c>
      <c r="B4" s="26">
        <v>0.04</v>
      </c>
      <c r="C4" s="26">
        <v>0.11</v>
      </c>
      <c r="D4" s="27">
        <v>88.05</v>
      </c>
      <c r="E4" s="27">
        <v>89.1</v>
      </c>
    </row>
    <row r="5" spans="1:5" ht="45.75" thickBot="1" x14ac:dyDescent="0.3">
      <c r="A5" s="25" t="s">
        <v>130</v>
      </c>
      <c r="B5" s="27" t="s">
        <v>131</v>
      </c>
      <c r="C5" s="27" t="s">
        <v>132</v>
      </c>
      <c r="D5" s="27" t="s">
        <v>133</v>
      </c>
      <c r="E5" s="27" t="s">
        <v>134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B2"/>
  <sheetViews>
    <sheetView tabSelected="1" workbookViewId="0">
      <selection activeCell="B2" sqref="B2"/>
    </sheetView>
  </sheetViews>
  <sheetFormatPr defaultColWidth="8.85546875" defaultRowHeight="15" x14ac:dyDescent="0.25"/>
  <cols>
    <col min="1" max="1" width="15.85546875" customWidth="1"/>
  </cols>
  <sheetData>
    <row r="1" spans="1:28" x14ac:dyDescent="0.25"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25">
      <c r="A2" t="s">
        <v>2</v>
      </c>
      <c r="B2" cm="1">
        <f t="array" ref="B2">_xlfn.XLOOKUP(BLP!B1, StatePolicies!$J$2:$AJ$2, _xlfn.XLOOKUP(About!$B$2, StatePolicies!$H$3:$H$52, StatePolicies!$J$3:$AJ$52))</f>
        <v>0</v>
      </c>
      <c r="C2" cm="1">
        <f t="array" ref="C2">_xlfn.XLOOKUP(BLP!C1, StatePolicies!$J$2:$AJ$2, _xlfn.XLOOKUP(About!$B$2, StatePolicies!$H$3:$H$52, StatePolicies!$J$3:$AJ$52))</f>
        <v>0</v>
      </c>
      <c r="D2" cm="1">
        <f t="array" ref="D2">_xlfn.XLOOKUP(BLP!D1, StatePolicies!$J$2:$AJ$2, _xlfn.XLOOKUP(About!$B$2, StatePolicies!$H$3:$H$52, StatePolicies!$J$3:$AJ$52))</f>
        <v>0</v>
      </c>
      <c r="E2" cm="1">
        <f t="array" ref="E2">_xlfn.XLOOKUP(BLP!E1, StatePolicies!$J$2:$AJ$2, _xlfn.XLOOKUP(About!$B$2, StatePolicies!$H$3:$H$52, StatePolicies!$J$3:$AJ$52))</f>
        <v>0</v>
      </c>
      <c r="F2" cm="1">
        <f t="array" ref="F2">_xlfn.XLOOKUP(BLP!F1, StatePolicies!$J$2:$AJ$2, _xlfn.XLOOKUP(About!$B$2, StatePolicies!$H$3:$H$52, StatePolicies!$J$3:$AJ$52))</f>
        <v>0</v>
      </c>
      <c r="G2" cm="1">
        <f t="array" ref="G2">_xlfn.XLOOKUP(BLP!G1, StatePolicies!$J$2:$AJ$2, _xlfn.XLOOKUP(About!$B$2, StatePolicies!$H$3:$H$52, StatePolicies!$J$3:$AJ$52))</f>
        <v>0</v>
      </c>
      <c r="H2" cm="1">
        <f t="array" ref="H2">_xlfn.XLOOKUP(BLP!H1, StatePolicies!$J$2:$AJ$2, _xlfn.XLOOKUP(About!$B$2, StatePolicies!$H$3:$H$52, StatePolicies!$J$3:$AJ$52))</f>
        <v>0</v>
      </c>
      <c r="I2" cm="1">
        <f t="array" ref="I2">_xlfn.XLOOKUP(BLP!I1, StatePolicies!$J$2:$AJ$2, _xlfn.XLOOKUP(About!$B$2, StatePolicies!$H$3:$H$52, StatePolicies!$J$3:$AJ$52))</f>
        <v>0</v>
      </c>
      <c r="J2" cm="1">
        <f t="array" ref="J2">_xlfn.XLOOKUP(BLP!J1, StatePolicies!$J$2:$AJ$2, _xlfn.XLOOKUP(About!$B$2, StatePolicies!$H$3:$H$52, StatePolicies!$J$3:$AJ$52))</f>
        <v>0</v>
      </c>
      <c r="K2" cm="1">
        <f t="array" ref="K2">_xlfn.XLOOKUP(BLP!K1, StatePolicies!$J$2:$AJ$2, _xlfn.XLOOKUP(About!$B$2, StatePolicies!$H$3:$H$52, StatePolicies!$J$3:$AJ$52))</f>
        <v>0</v>
      </c>
      <c r="L2" cm="1">
        <f t="array" ref="L2">_xlfn.XLOOKUP(BLP!L1, StatePolicies!$J$2:$AJ$2, _xlfn.XLOOKUP(About!$B$2, StatePolicies!$H$3:$H$52, StatePolicies!$J$3:$AJ$52))</f>
        <v>0</v>
      </c>
      <c r="M2" cm="1">
        <f t="array" ref="M2">_xlfn.XLOOKUP(BLP!M1, StatePolicies!$J$2:$AJ$2, _xlfn.XLOOKUP(About!$B$2, StatePolicies!$H$3:$H$52, StatePolicies!$J$3:$AJ$52))</f>
        <v>0</v>
      </c>
      <c r="N2" cm="1">
        <f t="array" ref="N2">_xlfn.XLOOKUP(BLP!N1, StatePolicies!$J$2:$AJ$2, _xlfn.XLOOKUP(About!$B$2, StatePolicies!$H$3:$H$52, StatePolicies!$J$3:$AJ$52))</f>
        <v>0</v>
      </c>
      <c r="O2" cm="1">
        <f t="array" ref="O2">_xlfn.XLOOKUP(BLP!O1, StatePolicies!$J$2:$AJ$2, _xlfn.XLOOKUP(About!$B$2, StatePolicies!$H$3:$H$52, StatePolicies!$J$3:$AJ$52))</f>
        <v>0</v>
      </c>
      <c r="P2" cm="1">
        <f t="array" ref="P2">_xlfn.XLOOKUP(BLP!P1, StatePolicies!$J$2:$AJ$2, _xlfn.XLOOKUP(About!$B$2, StatePolicies!$H$3:$H$52, StatePolicies!$J$3:$AJ$52))</f>
        <v>0</v>
      </c>
      <c r="Q2" cm="1">
        <f t="array" ref="Q2">_xlfn.XLOOKUP(BLP!Q1, StatePolicies!$J$2:$AJ$2, _xlfn.XLOOKUP(About!$B$2, StatePolicies!$H$3:$H$52, StatePolicies!$J$3:$AJ$52))</f>
        <v>0</v>
      </c>
      <c r="R2" cm="1">
        <f t="array" ref="R2">_xlfn.XLOOKUP(BLP!R1, StatePolicies!$J$2:$AJ$2, _xlfn.XLOOKUP(About!$B$2, StatePolicies!$H$3:$H$52, StatePolicies!$J$3:$AJ$52))</f>
        <v>0</v>
      </c>
      <c r="S2" cm="1">
        <f t="array" ref="S2">_xlfn.XLOOKUP(BLP!S1, StatePolicies!$J$2:$AJ$2, _xlfn.XLOOKUP(About!$B$2, StatePolicies!$H$3:$H$52, StatePolicies!$J$3:$AJ$52))</f>
        <v>0</v>
      </c>
      <c r="T2" cm="1">
        <f t="array" ref="T2">_xlfn.XLOOKUP(BLP!T1, StatePolicies!$J$2:$AJ$2, _xlfn.XLOOKUP(About!$B$2, StatePolicies!$H$3:$H$52, StatePolicies!$J$3:$AJ$52))</f>
        <v>0</v>
      </c>
      <c r="U2" cm="1">
        <f t="array" ref="U2">_xlfn.XLOOKUP(BLP!U1, StatePolicies!$J$2:$AJ$2, _xlfn.XLOOKUP(About!$B$2, StatePolicies!$H$3:$H$52, StatePolicies!$J$3:$AJ$52))</f>
        <v>0</v>
      </c>
      <c r="V2" cm="1">
        <f t="array" ref="V2">_xlfn.XLOOKUP(BLP!V1, StatePolicies!$J$2:$AJ$2, _xlfn.XLOOKUP(About!$B$2, StatePolicies!$H$3:$H$52, StatePolicies!$J$3:$AJ$52))</f>
        <v>0</v>
      </c>
      <c r="W2" cm="1">
        <f t="array" ref="W2">_xlfn.XLOOKUP(BLP!W1, StatePolicies!$J$2:$AJ$2, _xlfn.XLOOKUP(About!$B$2, StatePolicies!$H$3:$H$52, StatePolicies!$J$3:$AJ$52))</f>
        <v>0</v>
      </c>
      <c r="X2" cm="1">
        <f t="array" ref="X2">_xlfn.XLOOKUP(BLP!X1, StatePolicies!$J$2:$AJ$2, _xlfn.XLOOKUP(About!$B$2, StatePolicies!$H$3:$H$52, StatePolicies!$J$3:$AJ$52))</f>
        <v>0</v>
      </c>
      <c r="Y2" cm="1">
        <f t="array" ref="Y2">_xlfn.XLOOKUP(BLP!Y1, StatePolicies!$J$2:$AJ$2, _xlfn.XLOOKUP(About!$B$2, StatePolicies!$H$3:$H$52, StatePolicies!$J$3:$AJ$52))</f>
        <v>0</v>
      </c>
      <c r="Z2" cm="1">
        <f t="array" ref="Z2">_xlfn.XLOOKUP(BLP!Z1, StatePolicies!$J$2:$AJ$2, _xlfn.XLOOKUP(About!$B$2, StatePolicies!$H$3:$H$52, StatePolicies!$J$3:$AJ$52))</f>
        <v>0</v>
      </c>
      <c r="AA2" cm="1">
        <f t="array" ref="AA2">_xlfn.XLOOKUP(BLP!AA1, StatePolicies!$J$2:$AJ$2, _xlfn.XLOOKUP(About!$B$2, StatePolicies!$H$3:$H$52, StatePolicies!$J$3:$AJ$52))</f>
        <v>0</v>
      </c>
      <c r="AB2" cm="1">
        <f t="array" ref="AB2">_xlfn.XLOOKUP(BLP!AB1, StatePolicies!$J$2:$AJ$2, _xlfn.XLOOKUP(About!$B$2, StatePolicies!$H$3:$H$52, StatePolicies!$J$3:$AJ$52))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StatePolicies</vt:lpstr>
      <vt:lpstr>WA</vt:lpstr>
      <vt:lpstr>BLP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2017-06-17T02:28:17Z</dcterms:created>
  <dcterms:modified xsi:type="dcterms:W3CDTF">2026-06-17T17:15:19Z</dcterms:modified>
</cp:coreProperties>
</file>